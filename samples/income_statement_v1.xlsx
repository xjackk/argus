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P&amp;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<sst xmlns="http://schemas.openxmlformats.org/spreadsheetml/2006/main" count="41" uniqueCount="40">
  <si>
    <t xml:space="preserve">Assumptions &amp; Drivers</t>
  </si>
  <si>
    <t xml:space="preserve">(blue cells are authored inputs)</t>
  </si>
  <si>
    <t xml:space="preserve">Base Revenue (FY20, $000)</t>
  </si>
  <si>
    <t xml:space="preserve">Revenue Growth %</t>
  </si>
  <si>
    <t xml:space="preserve">Gross Margin %</t>
  </si>
  <si>
    <t xml:space="preserve">SG&amp;A % of Revenue</t>
  </si>
  <si>
    <t xml:space="preserve">R&amp;D % of Revenue</t>
  </si>
  <si>
    <t xml:space="preserve">Marketing % of Revenue</t>
  </si>
  <si>
    <t xml:space="preserve">G&amp;A % of Revenue</t>
  </si>
  <si>
    <t xml:space="preserve">D&amp;A % of Revenue</t>
  </si>
  <si>
    <t xml:space="preserve">Interest Rate on Debt</t>
  </si>
  <si>
    <t xml:space="preserve">Debt Balance ($000)</t>
  </si>
  <si>
    <t xml:space="preserve">Tax Rate</t>
  </si>
  <si>
    <t xml:space="preserve">Income Statement (USD $000)</t>
  </si>
  <si>
    <t xml:space="preserve">($ in thousands)</t>
  </si>
  <si>
    <t xml:space="preserve">FY20</t>
  </si>
  <si>
    <t xml:space="preserve">FY21</t>
  </si>
  <si>
    <t xml:space="preserve">FY22</t>
  </si>
  <si>
    <t xml:space="preserve">FY23</t>
  </si>
  <si>
    <t xml:space="preserve">FY24</t>
  </si>
  <si>
    <t xml:space="preserve">FY25</t>
  </si>
  <si>
    <t xml:space="preserve">FY26</t>
  </si>
  <si>
    <t xml:space="preserve">FY27</t>
  </si>
  <si>
    <t xml:space="preserve">Revenue</t>
  </si>
  <si>
    <t xml:space="preserve">Cost of Goods Sold</t>
  </si>
  <si>
    <t xml:space="preserve">Gross Profit</t>
  </si>
  <si>
    <t xml:space="preserve">SG&amp;A</t>
  </si>
  <si>
    <t xml:space="preserve">Research &amp; Development</t>
  </si>
  <si>
    <t xml:space="preserve">Marketing</t>
  </si>
  <si>
    <t xml:space="preserve">General &amp; Administrative</t>
  </si>
  <si>
    <t xml:space="preserve">Total Operating Expenses</t>
  </si>
  <si>
    <t xml:space="preserve">EBITDA</t>
  </si>
  <si>
    <t xml:space="preserve">Depreciation &amp; Amortization</t>
  </si>
  <si>
    <t xml:space="preserve">Operating Income (EBIT)</t>
  </si>
  <si>
    <t xml:space="preserve">Interest Expense</t>
  </si>
  <si>
    <t xml:space="preserve">Pretax Income</t>
  </si>
  <si>
    <t xml:space="preserve">Income Tax</t>
  </si>
  <si>
    <t xml:space="preserve">Net Income</t>
  </si>
  <si>
    <t xml:space="preserve">EBITDA Margin %</t>
  </si>
  <si>
    <t xml:space="preserve">Net Margin 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</si>
</sst>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42000</v>
      </c>
    </row>
    <row r="4" customFormat="false" ht="15" hidden="false" customHeight="false" outlineLevel="0" collapsed="false">
      <c r="A4" s="3" t="s">
        <v>3</v>
      </c>
      <c r="B4" s="5" t="n">
        <v>0.1</v>
      </c>
    </row>
    <row r="5" customFormat="false" ht="15" hidden="false" customHeight="false" outlineLevel="0" collapsed="false">
      <c r="A5" s="3" t="s">
        <v>4</v>
      </c>
      <c r="B5" s="5" t="n">
        <v>0.62</v>
      </c>
    </row>
    <row r="6" customFormat="false" ht="15" hidden="false" customHeight="false" outlineLevel="0" collapsed="false">
      <c r="A6" s="3" t="s">
        <v>5</v>
      </c>
      <c r="B6" s="5" t="n">
        <v>0.14</v>
      </c>
    </row>
    <row r="7" customFormat="false" ht="15" hidden="false" customHeight="false" outlineLevel="0" collapsed="false">
      <c r="A7" s="3" t="s">
        <v>6</v>
      </c>
      <c r="B7" s="5" t="n">
        <v>0.09</v>
      </c>
    </row>
    <row r="8" customFormat="false" ht="15" hidden="false" customHeight="false" outlineLevel="0" collapsed="false">
      <c r="A8" s="3" t="s">
        <v>7</v>
      </c>
      <c r="B8" s="5" t="n">
        <v>0.07</v>
      </c>
    </row>
    <row r="9" customFormat="false" ht="15" hidden="false" customHeight="false" outlineLevel="0" collapsed="false">
      <c r="A9" s="3" t="s">
        <v>8</v>
      </c>
      <c r="B9" s="5" t="n">
        <v>0.05</v>
      </c>
    </row>
    <row r="10" customFormat="false" ht="15" hidden="false" customHeight="false" outlineLevel="0" collapsed="false">
      <c r="A10" s="3" t="s">
        <v>9</v>
      </c>
      <c r="B10" s="5" t="n">
        <v>0.04</v>
      </c>
    </row>
    <row r="11" customFormat="false" ht="15" hidden="false" customHeight="false" outlineLevel="0" collapsed="false">
      <c r="A11" s="3" t="s">
        <v>10</v>
      </c>
      <c r="B11" s="5" t="n">
        <v>0.06</v>
      </c>
    </row>
    <row r="12" customFormat="false" ht="15" hidden="false" customHeight="false" outlineLevel="0" collapsed="false">
      <c r="A12" s="3" t="s">
        <v>11</v>
      </c>
      <c r="B12" s="4" t="n">
        <v>20000</v>
      </c>
    </row>
    <row r="13" customFormat="false" ht="15" hidden="false" customHeight="false" outlineLevel="0" collapsed="false">
      <c r="A13" s="3" t="s">
        <v>12</v>
      </c>
      <c r="B13" s="5" t="n">
        <v>0.24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  <c r="B2" s="6" t="s">
        <v>15</v>
      </c>
      <c r="C2" s="6" t="s">
        <v>16</v>
      </c>
      <c r="D2" s="6" t="s">
        <v>17</v>
      </c>
      <c r="E2" s="6" t="s">
        <v>18</v>
      </c>
      <c r="F2" s="6" t="s">
        <v>19</v>
      </c>
      <c r="G2" s="6" t="s">
        <v>20</v>
      </c>
      <c r="H2" s="6" t="s">
        <v>21</v>
      </c>
      <c r="I2" s="6" t="s">
        <v>22</v>
      </c>
    </row>
    <row r="3" customFormat="false" ht="15" hidden="false" customHeight="false" outlineLevel="0" collapsed="false">
      <c r="A3" s="3" t="s">
        <v>23</v>
      </c>
      <c r="B3" s="7" t="n">
        <f aca="false">Assumptions!$B$3</f>
        <v>42000</v>
      </c>
      <c r="C3" s="7" t="n">
        <f aca="false">B3*(1+Assumptions!$B$4)</f>
        <v>46200</v>
      </c>
      <c r="D3" s="7" t="n">
        <f aca="false">C3*(1+Assumptions!$B$4)</f>
        <v>50820</v>
      </c>
      <c r="E3" s="7" t="n">
        <f aca="false">D3*(1+Assumptions!$B$4)</f>
        <v>55902</v>
      </c>
      <c r="F3" s="7" t="n">
        <f aca="false">E3*(1+Assumptions!$B$4)</f>
        <v>61492.2</v>
      </c>
      <c r="G3" s="7" t="n">
        <f aca="false">F3*(1+Assumptions!$B$4)</f>
        <v>67641.42</v>
      </c>
      <c r="H3" s="7" t="n">
        <f aca="false">G3*(1+Assumptions!$B$4)</f>
        <v>74405.562</v>
      </c>
      <c r="I3" s="7" t="n">
        <f aca="false">H3*(1+Assumptions!$B$4)</f>
        <v>81846.1182</v>
      </c>
    </row>
    <row r="4" customFormat="false" ht="15" hidden="false" customHeight="false" outlineLevel="0" collapsed="false">
      <c r="A4" s="3" t="s">
        <v>24</v>
      </c>
      <c r="B4" s="7" t="n">
        <f aca="false">B3*(1-Assumptions!$B$5)</f>
        <v>15960</v>
      </c>
      <c r="C4" s="7" t="n">
        <f aca="false">C3*(1-Assumptions!$B$5)</f>
        <v>17556</v>
      </c>
      <c r="D4" s="7" t="n">
        <f aca="false">D3*(1-Assumptions!$B$5)</f>
        <v>19311.6</v>
      </c>
      <c r="E4" s="7" t="n">
        <f aca="false">E3*(1-Assumptions!$B$5)</f>
        <v>21242.76</v>
      </c>
      <c r="F4" s="7" t="n">
        <f aca="false">F3*(1-Assumptions!$B$5)</f>
        <v>23367.036</v>
      </c>
      <c r="G4" s="7" t="n">
        <f aca="false">G3*(1-Assumptions!$B$5)</f>
        <v>25703.7396</v>
      </c>
      <c r="H4" s="7" t="n">
        <f aca="false">H3*(1-Assumptions!$B$5)</f>
        <v>28274.11356</v>
      </c>
      <c r="I4" s="7" t="n">
        <f aca="false">I3*(1-Assumptions!$B$5)</f>
        <v>31101.524916</v>
      </c>
    </row>
    <row r="5" customFormat="false" ht="15" hidden="false" customHeight="false" outlineLevel="0" collapsed="false">
      <c r="A5" s="8" t="s">
        <v>25</v>
      </c>
      <c r="B5" s="9" t="n">
        <f aca="false">B3-B4</f>
        <v>26040</v>
      </c>
      <c r="C5" s="9" t="n">
        <f aca="false">C3-C4</f>
        <v>28644</v>
      </c>
      <c r="D5" s="9" t="n">
        <f aca="false">D3-D4</f>
        <v>31508.4</v>
      </c>
      <c r="E5" s="9" t="n">
        <f aca="false">E3-E4</f>
        <v>34659.24</v>
      </c>
      <c r="F5" s="9" t="n">
        <f aca="false">F3-F4</f>
        <v>38125.164</v>
      </c>
      <c r="G5" s="9" t="n">
        <f aca="false">G3-G4</f>
        <v>41937.6804</v>
      </c>
      <c r="H5" s="9" t="n">
        <f aca="false">H3-H4</f>
        <v>46131.44844</v>
      </c>
      <c r="I5" s="9" t="n">
        <f aca="false">I3-I4</f>
        <v>50744.593284</v>
      </c>
    </row>
    <row r="6" customFormat="false" ht="15" hidden="false" customHeight="false" outlineLevel="0" collapsed="false">
      <c r="A6" s="3" t="s">
        <v>26</v>
      </c>
      <c r="B6" s="7" t="n">
        <f aca="false">B3*Assumptions!$B$6</f>
        <v>5880</v>
      </c>
      <c r="C6" s="7" t="n">
        <f aca="false">C3*Assumptions!$B$6</f>
        <v>6468</v>
      </c>
      <c r="D6" s="7" t="n">
        <f aca="false">D3*Assumptions!$B$6</f>
        <v>7114.8</v>
      </c>
      <c r="E6" s="7" t="n">
        <f aca="false">E3*Assumptions!$B$6</f>
        <v>7826.28</v>
      </c>
      <c r="F6" s="7" t="n">
        <f aca="false">F3*Assumptions!$B$6</f>
        <v>8608.90800000001</v>
      </c>
      <c r="G6" s="7" t="n">
        <f aca="false">G3*Assumptions!$B$6</f>
        <v>9469.7988</v>
      </c>
      <c r="H6" s="7" t="n">
        <f aca="false">H3*Assumptions!$B$6</f>
        <v>10416.77868</v>
      </c>
      <c r="I6" s="7" t="n">
        <f aca="false">I3*Assumptions!$B$6</f>
        <v>11458.456548</v>
      </c>
    </row>
    <row r="7" customFormat="false" ht="15" hidden="false" customHeight="false" outlineLevel="0" collapsed="false">
      <c r="A7" s="3" t="s">
        <v>27</v>
      </c>
      <c r="B7" s="7" t="n">
        <f aca="false">B3*Assumptions!$B$7</f>
        <v>3780</v>
      </c>
      <c r="C7" s="7" t="n">
        <f aca="false">C3*Assumptions!$B$7</f>
        <v>4158</v>
      </c>
      <c r="D7" s="7" t="n">
        <f aca="false">D3*Assumptions!$B$7</f>
        <v>4573.8</v>
      </c>
      <c r="E7" s="7" t="n">
        <f aca="false">E3*Assumptions!$B$7</f>
        <v>5031.18</v>
      </c>
      <c r="F7" s="7" t="n">
        <f aca="false">F3*Assumptions!$B$7</f>
        <v>5534.298</v>
      </c>
      <c r="G7" s="7" t="n">
        <f aca="false">G3*Assumptions!$B$7</f>
        <v>6087.7278</v>
      </c>
      <c r="H7" s="7" t="n">
        <f aca="false">H3*Assumptions!$B$7</f>
        <v>6696.50058</v>
      </c>
      <c r="I7" s="7" t="n">
        <f aca="false">I3*Assumptions!$B$7</f>
        <v>7366.150638</v>
      </c>
    </row>
    <row r="8" customFormat="false" ht="15" hidden="false" customHeight="false" outlineLevel="0" collapsed="false">
      <c r="A8" s="3" t="s">
        <v>28</v>
      </c>
      <c r="B8" s="7" t="n">
        <f aca="false">B3*Assumptions!$B$8</f>
        <v>2940</v>
      </c>
      <c r="C8" s="7" t="n">
        <f aca="false">C3*Assumptions!$B$8</f>
        <v>3234</v>
      </c>
      <c r="D8" s="7" t="n">
        <f aca="false">D3*Assumptions!$B$8</f>
        <v>3557.4</v>
      </c>
      <c r="E8" s="7" t="n">
        <f aca="false">E3*Assumptions!$B$8</f>
        <v>3913.14</v>
      </c>
      <c r="F8" s="7" t="n">
        <f aca="false">F3*Assumptions!$B$8</f>
        <v>4304.454</v>
      </c>
      <c r="G8" s="7" t="n">
        <f aca="false">G3*Assumptions!$B$8</f>
        <v>4734.8994</v>
      </c>
      <c r="H8" s="7" t="n">
        <f aca="false">H3*Assumptions!$B$8</f>
        <v>5208.38934</v>
      </c>
      <c r="I8" s="7" t="n">
        <f aca="false">I3*Assumptions!$B$8</f>
        <v>5729.228274</v>
      </c>
    </row>
    <row r="9" customFormat="false" ht="15" hidden="false" customHeight="false" outlineLevel="0" collapsed="false">
      <c r="A9" s="3" t="s">
        <v>29</v>
      </c>
      <c r="B9" s="7" t="n">
        <f aca="false">B3*Assumptions!$B$9</f>
        <v>2100</v>
      </c>
      <c r="C9" s="7" t="n">
        <f aca="false">C3*Assumptions!$B$9</f>
        <v>2310</v>
      </c>
      <c r="D9" s="7" t="n">
        <f aca="false">D3*Assumptions!$B$9</f>
        <v>2541</v>
      </c>
      <c r="E9" s="7" t="n">
        <f aca="false">E3*Assumptions!$B$9</f>
        <v>2795.1</v>
      </c>
      <c r="F9" s="7" t="n">
        <f aca="false">F3*Assumptions!$B$9</f>
        <v>3074.61</v>
      </c>
      <c r="G9" s="7" t="n">
        <f aca="false">G3*Assumptions!$B$9</f>
        <v>3382.071</v>
      </c>
      <c r="H9" s="7" t="n">
        <f aca="false">H3*Assumptions!$B$9</f>
        <v>3720.2781</v>
      </c>
      <c r="I9" s="7" t="n">
        <f aca="false">I3*Assumptions!$B$9</f>
        <v>4092.30591</v>
      </c>
    </row>
    <row r="10" customFormat="false" ht="15" hidden="false" customHeight="false" outlineLevel="0" collapsed="false">
      <c r="A10" s="8" t="s">
        <v>30</v>
      </c>
      <c r="B10" s="9" t="n">
        <f aca="false">SUM(B6:B9)</f>
        <v>14700</v>
      </c>
      <c r="C10" s="9" t="n">
        <f aca="false">SUM(C6:C9)</f>
        <v>16170</v>
      </c>
      <c r="D10" s="9" t="n">
        <f aca="false">SUM(D6:D9)</f>
        <v>17787</v>
      </c>
      <c r="E10" s="9" t="n">
        <f aca="false">SUM(E6:E9)</f>
        <v>19565.7</v>
      </c>
      <c r="F10" s="9" t="n">
        <f aca="false">SUM(F6:F9)</f>
        <v>21522.27</v>
      </c>
      <c r="G10" s="9" t="n">
        <f aca="false">SUM(G6:G9)</f>
        <v>23674.497</v>
      </c>
      <c r="H10" s="9" t="n">
        <f aca="false">SUM(H6:H9)</f>
        <v>26041.9467</v>
      </c>
      <c r="I10" s="9" t="n">
        <f aca="false">SUM(I6:I9)</f>
        <v>28646.14137</v>
      </c>
    </row>
    <row r="11" customFormat="false" ht="15" hidden="false" customHeight="false" outlineLevel="0" collapsed="false">
      <c r="A11" s="8" t="s">
        <v>31</v>
      </c>
      <c r="B11" s="9" t="n">
        <f aca="false">B5-B10</f>
        <v>11340</v>
      </c>
      <c r="C11" s="9" t="n">
        <f aca="false">C5-C10</f>
        <v>12474</v>
      </c>
      <c r="D11" s="9" t="n">
        <f aca="false">D5-D10</f>
        <v>13721.4</v>
      </c>
      <c r="E11" s="9" t="n">
        <f aca="false">E5-E10</f>
        <v>15093.54</v>
      </c>
      <c r="F11" s="9" t="n">
        <f aca="false">F5-F10</f>
        <v>16602.894</v>
      </c>
      <c r="G11" s="9" t="n">
        <f aca="false">G5-G10</f>
        <v>18263.1834</v>
      </c>
      <c r="H11" s="9" t="n">
        <f aca="false">H5-H10</f>
        <v>20089.50174</v>
      </c>
      <c r="I11" s="9" t="n">
        <f aca="false">I5-I10</f>
        <v>22098.451914</v>
      </c>
    </row>
    <row r="12" customFormat="false" ht="15" hidden="false" customHeight="false" outlineLevel="0" collapsed="false">
      <c r="A12" s="3" t="s">
        <v>32</v>
      </c>
      <c r="B12" s="7" t="n">
        <f aca="false">B3*Assumptions!$B$10</f>
        <v>1680</v>
      </c>
      <c r="C12" s="7" t="n">
        <f aca="false">C3*Assumptions!$B$10</f>
        <v>1848</v>
      </c>
      <c r="D12" s="7" t="n">
        <f aca="false">D3*Assumptions!$B$10</f>
        <v>2032.8</v>
      </c>
      <c r="E12" s="7" t="n">
        <f aca="false">E3*Assumptions!$B$10</f>
        <v>2236.08</v>
      </c>
      <c r="F12" s="7" t="n">
        <f aca="false">F3*Assumptions!$B$10</f>
        <v>2459.688</v>
      </c>
      <c r="G12" s="7" t="n">
        <f aca="false">G3*Assumptions!$B$10</f>
        <v>2705.6568</v>
      </c>
      <c r="H12" s="7" t="n">
        <f aca="false">H3*Assumptions!$B$10</f>
        <v>2976.22248</v>
      </c>
      <c r="I12" s="7" t="n">
        <f aca="false">I3*Assumptions!$B$10</f>
        <v>3273.844728</v>
      </c>
    </row>
    <row r="13" customFormat="false" ht="15" hidden="false" customHeight="false" outlineLevel="0" collapsed="false">
      <c r="A13" s="8" t="s">
        <v>33</v>
      </c>
      <c r="B13" s="9" t="n">
        <f aca="false">B11-B12</f>
        <v>9660</v>
      </c>
      <c r="C13" s="9" t="n">
        <f aca="false">C11-C12</f>
        <v>10626</v>
      </c>
      <c r="D13" s="9" t="n">
        <f aca="false">D11-D12</f>
        <v>11688.6</v>
      </c>
      <c r="E13" s="9" t="n">
        <f aca="false">E11-E12</f>
        <v>12857.46</v>
      </c>
      <c r="F13" s="9" t="n">
        <f aca="false">F11-F12</f>
        <v>14143.206</v>
      </c>
      <c r="G13" s="9" t="n">
        <f aca="false">G11-G12</f>
        <v>15557.5266</v>
      </c>
      <c r="H13" s="9" t="n">
        <f aca="false">H11-H12</f>
        <v>17113.27926</v>
      </c>
      <c r="I13" s="9" t="n">
        <f aca="false">I11-I12</f>
        <v>18824.607186</v>
      </c>
    </row>
    <row r="14" customFormat="false" ht="15" hidden="false" customHeight="false" outlineLevel="0" collapsed="false">
      <c r="A14" s="3" t="s">
        <v>34</v>
      </c>
      <c r="B14" s="7" t="n">
        <f aca="false">Assumptions!$B$12*Assumptions!$B$11</f>
        <v>1200</v>
      </c>
      <c r="C14" s="7" t="n">
        <f aca="false">Assumptions!$B$12*Assumptions!$B$11</f>
        <v>1200</v>
      </c>
      <c r="D14" s="7" t="n">
        <f aca="false">Assumptions!$B$12*Assumptions!$B$11</f>
        <v>1200</v>
      </c>
      <c r="E14" s="7" t="n">
        <f aca="false">Assumptions!$B$12*Assumptions!$B$11</f>
        <v>1200</v>
      </c>
      <c r="F14" s="7" t="n">
        <f aca="false">Assumptions!$B$12*Assumptions!$B$11</f>
        <v>1200</v>
      </c>
      <c r="G14" s="7" t="n">
        <f aca="false">Assumptions!$B$12*Assumptions!$B$11</f>
        <v>1200</v>
      </c>
      <c r="H14" s="7" t="n">
        <f aca="false">Assumptions!$B$12*Assumptions!$B$11</f>
        <v>1200</v>
      </c>
      <c r="I14" s="7" t="n">
        <f aca="false">Assumptions!$B$12*Assumptions!$B$11</f>
        <v>1200</v>
      </c>
    </row>
    <row r="15" customFormat="false" ht="15" hidden="false" customHeight="false" outlineLevel="0" collapsed="false">
      <c r="A15" s="8" t="s">
        <v>35</v>
      </c>
      <c r="B15" s="9" t="n">
        <f aca="false">B13-B14</f>
        <v>8460</v>
      </c>
      <c r="C15" s="9" t="n">
        <f aca="false">C13-C14</f>
        <v>9426</v>
      </c>
      <c r="D15" s="9" t="n">
        <f aca="false">D13-D14</f>
        <v>10488.6</v>
      </c>
      <c r="E15" s="9" t="n">
        <f aca="false">E13-E14</f>
        <v>11657.46</v>
      </c>
      <c r="F15" s="9" t="n">
        <f aca="false">F13-F14</f>
        <v>12943.206</v>
      </c>
      <c r="G15" s="9" t="n">
        <f aca="false">G13-G14</f>
        <v>14357.5266</v>
      </c>
      <c r="H15" s="9" t="n">
        <f aca="false">H13-H14</f>
        <v>15913.27926</v>
      </c>
      <c r="I15" s="9" t="n">
        <f aca="false">I13-I14</f>
        <v>17624.607186</v>
      </c>
    </row>
    <row r="16" customFormat="false" ht="15" hidden="false" customHeight="false" outlineLevel="0" collapsed="false">
      <c r="A16" s="3" t="s">
        <v>36</v>
      </c>
      <c r="B16" s="7" t="n">
        <f aca="false">B15*Assumptions!$B$13</f>
        <v>2030.4</v>
      </c>
      <c r="C16" s="7" t="n">
        <f aca="false">C15*Assumptions!$B$13</f>
        <v>2262.24</v>
      </c>
      <c r="D16" s="7" t="n">
        <f aca="false">D15*Assumptions!$B$13</f>
        <v>2517.264</v>
      </c>
      <c r="E16" s="7" t="n">
        <f aca="false">E15*Assumptions!$B$13</f>
        <v>2797.7904</v>
      </c>
      <c r="F16" s="7" t="n">
        <f aca="false">F15*Assumptions!$B$13</f>
        <v>3106.36944</v>
      </c>
      <c r="G16" s="7" t="n">
        <f aca="false">G15*Assumptions!$B$13</f>
        <v>3445.806384</v>
      </c>
      <c r="H16" s="7" t="n">
        <f aca="false">H15*Assumptions!$B$13</f>
        <v>3819.1870224</v>
      </c>
      <c r="I16" s="7" t="n">
        <f aca="false">I15*Assumptions!$B$13</f>
        <v>4229.90572464</v>
      </c>
    </row>
    <row r="17" customFormat="false" ht="15" hidden="false" customHeight="false" outlineLevel="0" collapsed="false">
      <c r="A17" s="8" t="s">
        <v>37</v>
      </c>
      <c r="B17" s="9" t="n">
        <f aca="false">B15-B16</f>
        <v>6429.6</v>
      </c>
      <c r="C17" s="9" t="n">
        <f aca="false">C15-C16</f>
        <v>7163.76</v>
      </c>
      <c r="D17" s="9" t="n">
        <f aca="false">D15-D16</f>
        <v>7971.336</v>
      </c>
      <c r="E17" s="9" t="n">
        <f aca="false">E15-E16</f>
        <v>8859.6696</v>
      </c>
      <c r="F17" s="9" t="n">
        <f aca="false">F15-F16</f>
        <v>9836.83656</v>
      </c>
      <c r="G17" s="9" t="n">
        <f aca="false">G15-G16</f>
        <v>10911.720216</v>
      </c>
      <c r="H17" s="9" t="n">
        <f aca="false">H15-H16</f>
        <v>12094.0922376</v>
      </c>
      <c r="I17" s="9" t="n">
        <f aca="false">I15-I16</f>
        <v>13394.70146136</v>
      </c>
    </row>
    <row r="18" customFormat="false" ht="15" hidden="false" customHeight="false" outlineLevel="0" collapsed="false">
      <c r="A18" s="3" t="s">
        <v>4</v>
      </c>
      <c r="B18" s="10" t="n">
        <f aca="false">B5/B3</f>
        <v>0.62</v>
      </c>
      <c r="C18" s="10" t="n">
        <f aca="false">C5/C3</f>
        <v>0.62</v>
      </c>
      <c r="D18" s="10" t="n">
        <f aca="false">D5/D3</f>
        <v>0.62</v>
      </c>
      <c r="E18" s="10" t="n">
        <f aca="false">E5/E3</f>
        <v>0.62</v>
      </c>
      <c r="F18" s="10" t="n">
        <f aca="false">F5/F3</f>
        <v>0.62</v>
      </c>
      <c r="G18" s="10" t="n">
        <f aca="false">G5/G3</f>
        <v>0.62</v>
      </c>
      <c r="H18" s="10" t="n">
        <f aca="false">H5/H3</f>
        <v>0.62</v>
      </c>
      <c r="I18" s="10" t="n">
        <f aca="false">I5/I3</f>
        <v>0.62</v>
      </c>
    </row>
    <row r="19" customFormat="false" ht="15" hidden="false" customHeight="false" outlineLevel="0" collapsed="false">
      <c r="A19" s="3" t="s">
        <v>38</v>
      </c>
      <c r="B19" s="10" t="n">
        <f aca="false">B11/B3</f>
        <v>0.27</v>
      </c>
      <c r="C19" s="10" t="n">
        <f aca="false">C11/C3</f>
        <v>0.27</v>
      </c>
      <c r="D19" s="10" t="n">
        <f aca="false">D11/D3</f>
        <v>0.27</v>
      </c>
      <c r="E19" s="10" t="n">
        <f aca="false">E11/E3</f>
        <v>0.27</v>
      </c>
      <c r="F19" s="10" t="n">
        <f aca="false">F11/F3</f>
        <v>0.27</v>
      </c>
      <c r="G19" s="10" t="n">
        <f aca="false">G11/G3</f>
        <v>0.27</v>
      </c>
      <c r="H19" s="10" t="n">
        <f aca="false">H11/H3</f>
        <v>0.27</v>
      </c>
      <c r="I19" s="10" t="n">
        <f aca="false">I11/I3</f>
        <v>0.27</v>
      </c>
    </row>
    <row r="20" customFormat="false" ht="15" hidden="false" customHeight="false" outlineLevel="0" collapsed="false">
      <c r="A20" s="3" t="s">
        <v>39</v>
      </c>
      <c r="B20" s="10" t="n">
        <f aca="false">B17/B3</f>
        <v>0.153085714285714</v>
      </c>
      <c r="C20" s="10" t="n">
        <f aca="false">C17/C3</f>
        <v>0.15505974025974</v>
      </c>
      <c r="D20" s="10" t="n">
        <f aca="false">D17/D3</f>
        <v>0.156854309327037</v>
      </c>
      <c r="E20" s="10" t="n">
        <f aca="false">E17/E3</f>
        <v>0.158485735751851</v>
      </c>
      <c r="F20" s="10" t="n">
        <f aca="false">F17/F3</f>
        <v>0.159968850683501</v>
      </c>
      <c r="G20" s="10" t="n">
        <f aca="false">G17/G3</f>
        <v>0.161317136985001</v>
      </c>
      <c r="H20" s="10" t="n">
        <f aca="false">H17/H3</f>
        <v>0.162542851804547</v>
      </c>
      <c r="I20" s="10" t="n">
        <f aca="false">I17/I3</f>
        <v>0.163657138004133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2026-07-25T19:51:37Z</dcterms:created>
  <dc:creator>openpyxl</dc:creator>
  <dc:description/>
  <dc:language>en-US</dc:language>
  <cp:lastModifiedBy/>
  <dcterms:modified xsi:type="dcterms:W3CDTF">2026-07-25T19:51:37Z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