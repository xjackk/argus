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P&amp;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<sst xmlns="http://schemas.openxmlformats.org/spreadsheetml/2006/main" count="26" uniqueCount="25">
  <si>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Assumptions</t>
  </si>
  <si>
    <t xml:space="preserve">Base Revenue (2023A)</t>
  </si>
  <si>
    <t xml:space="preserve">Revenue Growth %</t>
  </si>
  <si>
    <t xml:space="preserve">COGS % of Revenue</t>
  </si>
  <si>
    <t xml:space="preserve">SG&amp;A % of Revenue</t>
  </si>
  <si>
    <t xml:space="preserve">R&amp;D % of Revenue</t>
  </si>
  <si>
    <t xml:space="preserve">Interest Expense</t>
  </si>
  <si>
    <t xml:space="preserve">Tax Rate</t>
  </si>
  <si>
    <t xml:space="preserve">Income Statement ($000s)</t>
  </si>
  <si>
    <t xml:space="preserve">2023A</t>
  </si>
  <si>
    <t xml:space="preserve">2024E</t>
  </si>
  <si>
    <t xml:space="preserve">2025E</t>
  </si>
  <si>
    <t xml:space="preserve">Revenue</t>
  </si>
  <si>
    <t xml:space="preserve">Cost of Goods Sold</t>
  </si>
  <si>
    <t xml:space="preserve">Gross Profit</t>
  </si>
  <si>
    <t xml:space="preserve">SG&amp;A</t>
  </si>
  <si>
    <t xml:space="preserve">Research &amp; Development</t>
  </si>
  <si>
    <t xml:space="preserve">Total Operating Expenses</t>
  </si>
  <si>
    <t xml:space="preserve">Operating Income (EBIT)</t>
  </si>
  <si>
    <t xml:space="preserve">Pretax Income</t>
  </si>
  <si>
    <t xml:space="preserve">Income Tax</t>
  </si>
  <si>
    <t xml:space="preserve">Net Income</t>
  </si>
  <si>
    <t xml:space="preserve">Gross Margin %</t>
  </si>
  <si>
    <t xml:space="preserve">Operating Margin %</t>
  </si>
  <si>
    <t xml:space="preserve">Net Margin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</si>
</sst>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i val="true"/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42000</v>
      </c>
    </row>
    <row r="4" customFormat="false" ht="15" hidden="false" customHeight="false" outlineLevel="0" collapsed="false">
      <c r="A4" s="0" t="s">
        <v>2</v>
      </c>
      <c r="B4" s="3" t="n">
        <v>0.12</v>
      </c>
    </row>
    <row r="5" customFormat="false" ht="15" hidden="false" customHeight="false" outlineLevel="0" collapsed="false">
      <c r="A5" s="0" t="s">
        <v>3</v>
      </c>
      <c r="B5" s="3" t="n">
        <v>0.58</v>
      </c>
    </row>
    <row r="6" customFormat="false" ht="15" hidden="false" customHeight="false" outlineLevel="0" collapsed="false">
      <c r="A6" s="0" t="s">
        <v>4</v>
      </c>
      <c r="B6" s="3" t="n">
        <v>0.17</v>
      </c>
    </row>
    <row r="7" customFormat="false" ht="15" hidden="false" customHeight="false" outlineLevel="0" collapsed="false">
      <c r="A7" s="0" t="s">
        <v>5</v>
      </c>
      <c r="B7" s="3" t="n">
        <v>0.09</v>
      </c>
    </row>
    <row r="8" customFormat="false" ht="15" hidden="false" customHeight="false" outlineLevel="0" collapsed="false">
      <c r="A8" s="0" t="s">
        <v>6</v>
      </c>
      <c r="B8" s="2" t="n">
        <v>1200</v>
      </c>
    </row>
    <row r="9" customFormat="false" ht="15" hidden="false" customHeight="false" outlineLevel="0" collapsed="false">
      <c r="A9" s="0" t="s">
        <v>7</v>
      </c>
      <c r="B9" s="3" t="n">
        <v>0.24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</cols>
  <sheetData>
    <row r="1" customFormat="false" ht="16.15" hidden="false" customHeight="false" outlineLevel="0" collapsed="false">
      <c r="A1" s="1" t="s">
        <v>8</v>
      </c>
    </row>
    <row r="2" customFormat="false" ht="15" hidden="false" customHeight="false" outlineLevel="0" collapsed="false">
      <c r="B2" s="4" t="s">
        <v>9</v>
      </c>
      <c r="C2" s="4" t="s">
        <v>10</v>
      </c>
      <c r="D2" s="4" t="s">
        <v>11</v>
      </c>
    </row>
    <row r="3" customFormat="false" ht="15" hidden="false" customHeight="false" outlineLevel="0" collapsed="false">
      <c r="A3" s="5" t="s">
        <v>12</v>
      </c>
      <c r="B3" s="6" t="n">
        <f aca="false">Assumptions!B3</f>
        <v>42000</v>
      </c>
      <c r="C3" s="6" t="n">
        <f aca="false">B3*(1+Assumptions!B4)</f>
        <v>47040</v>
      </c>
      <c r="D3" s="6" t="n">
        <f aca="false">C3*(1+Assumptions!B4)</f>
        <v>52684.8</v>
      </c>
    </row>
    <row r="4" customFormat="false" ht="15" hidden="false" customHeight="false" outlineLevel="0" collapsed="false">
      <c r="A4" s="0" t="s">
        <v>13</v>
      </c>
      <c r="B4" s="2" t="n">
        <f aca="false">B3*Assumptions!B5</f>
        <v>24360</v>
      </c>
      <c r="C4" s="2" t="n">
        <f aca="false">C3*Assumptions!B5</f>
        <v>27283.2</v>
      </c>
      <c r="D4" s="2" t="n">
        <f aca="false">D3*Assumptions!B5</f>
        <v>30557.184</v>
      </c>
    </row>
    <row r="5" customFormat="false" ht="15" hidden="false" customHeight="false" outlineLevel="0" collapsed="false">
      <c r="A5" s="5" t="s">
        <v>14</v>
      </c>
      <c r="B5" s="7" t="n">
        <f aca="false">B3-B4</f>
        <v>17640</v>
      </c>
      <c r="C5" s="7" t="n">
        <f aca="false">C3-C4</f>
        <v>19756.8</v>
      </c>
      <c r="D5" s="7" t="n">
        <f aca="false">D3-D4</f>
        <v>22127.616</v>
      </c>
    </row>
    <row r="6" customFormat="false" ht="15" hidden="false" customHeight="false" outlineLevel="0" collapsed="false">
      <c r="A6" s="8" t="s">
        <v>15</v>
      </c>
      <c r="B6" s="2" t="n">
        <f aca="false">B3*Assumptions!B6</f>
        <v>7140</v>
      </c>
      <c r="C6" s="2" t="n">
        <f aca="false">C3*Assumptions!B6</f>
        <v>7996.8</v>
      </c>
      <c r="D6" s="2" t="n">
        <f aca="false">D3*Assumptions!B6</f>
        <v>8956.416</v>
      </c>
    </row>
    <row r="7" customFormat="false" ht="15" hidden="false" customHeight="false" outlineLevel="0" collapsed="false">
      <c r="A7" s="8" t="s">
        <v>16</v>
      </c>
      <c r="B7" s="2" t="n">
        <f aca="false">B3*Assumptions!B7</f>
        <v>3780</v>
      </c>
      <c r="C7" s="2" t="n">
        <f aca="false">C3*Assumptions!B7</f>
        <v>4233.6</v>
      </c>
      <c r="D7" s="2" t="n">
        <f aca="false">D3*Assumptions!B7</f>
        <v>4741.632</v>
      </c>
    </row>
    <row r="8" customFormat="false" ht="15" hidden="false" customHeight="false" outlineLevel="0" collapsed="false">
      <c r="A8" s="0" t="s">
        <v>17</v>
      </c>
      <c r="B8" s="9" t="n">
        <f aca="false">B6+B7</f>
        <v>10920</v>
      </c>
      <c r="C8" s="9" t="n">
        <f aca="false">C6+C7</f>
        <v>12230.4</v>
      </c>
      <c r="D8" s="9" t="n">
        <f aca="false">D6+D7</f>
        <v>13698.048</v>
      </c>
    </row>
    <row r="9" customFormat="false" ht="15" hidden="false" customHeight="false" outlineLevel="0" collapsed="false">
      <c r="A9" s="5" t="s">
        <v>18</v>
      </c>
      <c r="B9" s="6" t="n">
        <f aca="false">B5-B8</f>
        <v>6720</v>
      </c>
      <c r="C9" s="6" t="n">
        <f aca="false">C5-C8</f>
        <v>7526.40000000001</v>
      </c>
      <c r="D9" s="6" t="n">
        <f aca="false">D5-D8</f>
        <v>8429.568</v>
      </c>
    </row>
    <row r="10" customFormat="false" ht="15" hidden="false" customHeight="false" outlineLevel="0" collapsed="false">
      <c r="A10" s="0" t="s">
        <v>6</v>
      </c>
      <c r="B10" s="2" t="n">
        <f aca="false">Assumptions!B8</f>
        <v>1200</v>
      </c>
      <c r="C10" s="2" t="n">
        <f aca="false">Assumptions!B8</f>
        <v>1200</v>
      </c>
      <c r="D10" s="2" t="n">
        <f aca="false">Assumptions!B8</f>
        <v>1200</v>
      </c>
    </row>
    <row r="11" customFormat="false" ht="15" hidden="false" customHeight="false" outlineLevel="0" collapsed="false">
      <c r="A11" s="0" t="s">
        <v>19</v>
      </c>
      <c r="B11" s="9" t="n">
        <f aca="false">B9-B10</f>
        <v>5520</v>
      </c>
      <c r="C11" s="9" t="n">
        <f aca="false">C9-C10</f>
        <v>6326.40000000001</v>
      </c>
      <c r="D11" s="9" t="n">
        <f aca="false">D9-D10</f>
        <v>7229.568</v>
      </c>
    </row>
    <row r="12" customFormat="false" ht="15" hidden="false" customHeight="false" outlineLevel="0" collapsed="false">
      <c r="A12" s="0" t="s">
        <v>20</v>
      </c>
      <c r="B12" s="2" t="n">
        <f aca="false">B11*Assumptions!B9</f>
        <v>1324.8</v>
      </c>
      <c r="C12" s="2" t="n">
        <f aca="false">C11*Assumptions!B9</f>
        <v>1518.336</v>
      </c>
      <c r="D12" s="2" t="n">
        <f aca="false">D11*Assumptions!B9</f>
        <v>1735.09632</v>
      </c>
    </row>
    <row r="13" customFormat="false" ht="15" hidden="false" customHeight="false" outlineLevel="0" collapsed="false">
      <c r="A13" s="5" t="s">
        <v>21</v>
      </c>
      <c r="B13" s="10" t="n">
        <f aca="false">B11-B12</f>
        <v>4195.2</v>
      </c>
      <c r="C13" s="10" t="n">
        <f aca="false">C11-C12</f>
        <v>4808.064</v>
      </c>
      <c r="D13" s="10" t="n">
        <f aca="false">D11-D12</f>
        <v>5494.47168</v>
      </c>
    </row>
    <row r="15" customFormat="false" ht="15" hidden="false" customHeight="false" outlineLevel="0" collapsed="false">
      <c r="A15" s="0" t="s">
        <v>22</v>
      </c>
      <c r="B15" s="3" t="n">
        <f aca="false">B5/B3</f>
        <v>0.42</v>
      </c>
      <c r="C15" s="3" t="n">
        <f aca="false">C5/C3</f>
        <v>0.42</v>
      </c>
      <c r="D15" s="3" t="n">
        <f aca="false">D5/D3</f>
        <v>0.42</v>
      </c>
    </row>
    <row r="16" customFormat="false" ht="15" hidden="false" customHeight="false" outlineLevel="0" collapsed="false">
      <c r="A16" s="0" t="s">
        <v>23</v>
      </c>
      <c r="B16" s="3" t="n">
        <f aca="false">B9/B3</f>
        <v>0.16</v>
      </c>
      <c r="C16" s="3" t="n">
        <f aca="false">C9/C3</f>
        <v>0.16</v>
      </c>
      <c r="D16" s="3" t="n">
        <f aca="false">D9/D3</f>
        <v>0.16</v>
      </c>
    </row>
    <row r="17" customFormat="false" ht="15" hidden="false" customHeight="false" outlineLevel="0" collapsed="false">
      <c r="A17" s="0" t="s">
        <v>24</v>
      </c>
      <c r="B17" s="3" t="n">
        <f aca="false">B13/B3</f>
        <v>0.0998857142857143</v>
      </c>
      <c r="C17" s="3" t="n">
        <f aca="false">C13/C3</f>
        <v>0.102212244897959</v>
      </c>
      <c r="D17" s="3" t="n">
        <f aca="false">D13/D3</f>
        <v>0.104289504373178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2026-07-25T18:23:58Z</dcterms:created>
  <dc:creator>openpyxl</dc:creator>
  <dc:description/>
  <dc:language>en-US</dc:language>
  <cp:lastModifiedBy/>
  <dcterms:modified xsi:type="dcterms:W3CDTF">2026-07-25T18:23:58Z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