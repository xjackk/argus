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BalanceShe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<sst xmlns="http://schemas.openxmlformats.org/spreadsheetml/2006/main" count="58" uniqueCount="55">
  <si>
    <t xml:space="preserve">Balance Sheet Assumptions</t>
  </si>
  <si>
    <t xml:space="preserve">(blue cells are authored inputs)</t>
  </si>
  <si>
    <t xml:space="preserve">Opening Cash ($000)</t>
  </si>
  <si>
    <t xml:space="preserve">Opening Accounts Receivable</t>
  </si>
  <si>
    <t xml:space="preserve">Opening Inventory</t>
  </si>
  <si>
    <t xml:space="preserve">Opening Prepaid Expenses</t>
  </si>
  <si>
    <t xml:space="preserve">Opening Gross PP&amp;E</t>
  </si>
  <si>
    <t xml:space="preserve">Opening Accumulated Deprec.</t>
  </si>
  <si>
    <t xml:space="preserve">Goodwill</t>
  </si>
  <si>
    <t xml:space="preserve">Intangible Assets</t>
  </si>
  <si>
    <t xml:space="preserve">Opening Accounts Payable</t>
  </si>
  <si>
    <t xml:space="preserve">Opening Accrued Expenses</t>
  </si>
  <si>
    <t xml:space="preserve">Opening Deferred Revenue</t>
  </si>
  <si>
    <t xml:space="preserve">Opening Short-term Debt</t>
  </si>
  <si>
    <t xml:space="preserve">Opening Long-term Debt</t>
  </si>
  <si>
    <t xml:space="preserve">Common Stock</t>
  </si>
  <si>
    <t xml:space="preserve">Annual Capex ($000)</t>
  </si>
  <si>
    <t xml:space="preserve">Depreciation Rate (of Gross)</t>
  </si>
  <si>
    <t xml:space="preserve">Annual Net Income</t>
  </si>
  <si>
    <t xml:space="preserve">AR Growth per Year</t>
  </si>
  <si>
    <t xml:space="preserve">Inventory Growth per Year</t>
  </si>
  <si>
    <t xml:space="preserve">AP Growth per Year</t>
  </si>
  <si>
    <t xml:space="preserve">Balance Sheet (USD $000)</t>
  </si>
  <si>
    <t xml:space="preserve">($ in thousands)</t>
  </si>
  <si>
    <t xml:space="preserve">FY20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</si>
  <si>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</si>
  <si>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</si>
  <si>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</si>
  <si>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</si>
  <si>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</si>
  <si>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</si>
  <si>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ASSETS</t>
  </si>
  <si>
    <t xml:space="preserve">Cash &amp; Equivalents</t>
  </si>
  <si>
    <t xml:space="preserve">Accounts Receivable</t>
  </si>
  <si>
    <t xml:space="preserve">Inventory</t>
  </si>
  <si>
    <t xml:space="preserve">Prepaid Expenses</t>
  </si>
  <si>
    <t xml:space="preserve">Total Current Assets</t>
  </si>
  <si>
    <t xml:space="preserve">Gross PP&amp;E</t>
  </si>
  <si>
    <t xml:space="preserve">Less: Accumulated Depreciation</t>
  </si>
  <si>
    <t xml:space="preserve">Net PP&amp;E</t>
  </si>
  <si>
    <t xml:space="preserve">Total Non-Current Assets</t>
  </si>
  <si>
    <t xml:space="preserve">Total Assets</t>
  </si>
  <si>
    <t xml:space="preserve">LIABILITIES</t>
  </si>
  <si>
    <t xml:space="preserve">Accounts Payable</t>
  </si>
  <si>
    <t xml:space="preserve">Accrued Expenses</t>
  </si>
  <si>
    <t xml:space="preserve">Deferred Revenue</t>
  </si>
  <si>
    <t xml:space="preserve">Short-term Debt</t>
  </si>
  <si>
    <t xml:space="preserve">Total Current Liabilities</t>
  </si>
  <si>
    <t xml:space="preserve">Long-term Debt</t>
  </si>
  <si>
    <t xml:space="preserve">Total Liabilities</t>
  </si>
  <si>
    <t xml:space="preserve">EQUITY</t>
  </si>
  <si>
    <t xml:space="preserve">Retained Earnings</t>
  </si>
  <si>
    <t xml:space="preserve">Total Equity</t>
  </si>
  <si>
    <t xml:space="preserve">Total Liabilities &amp; Equity</t>
  </si>
  <si>
    <t xml:space="preserve">Balance Check (A - L&amp;E)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</si>
</sst>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  <c r="B3" s="3" t="n">
        <v>18000</v>
      </c>
    </row>
    <row r="4" customFormat="false" ht="15" hidden="false" customHeight="false" outlineLevel="0" collapsed="false">
      <c r="A4" s="0" t="s">
        <v>3</v>
      </c>
      <c r="B4" s="3" t="n">
        <v>9000</v>
      </c>
    </row>
    <row r="5" customFormat="false" ht="15" hidden="false" customHeight="false" outlineLevel="0" collapsed="false">
      <c r="A5" s="0" t="s">
        <v>4</v>
      </c>
      <c r="B5" s="3" t="n">
        <v>7000</v>
      </c>
    </row>
    <row r="6" customFormat="false" ht="15" hidden="false" customHeight="false" outlineLevel="0" collapsed="false">
      <c r="A6" s="0" t="s">
        <v>5</v>
      </c>
      <c r="B6" s="3" t="n">
        <v>1500</v>
      </c>
    </row>
    <row r="7" customFormat="false" ht="15" hidden="false" customHeight="false" outlineLevel="0" collapsed="false">
      <c r="A7" s="0" t="s">
        <v>6</v>
      </c>
      <c r="B7" s="3" t="n">
        <v>40000</v>
      </c>
    </row>
    <row r="8" customFormat="false" ht="15" hidden="false" customHeight="false" outlineLevel="0" collapsed="false">
      <c r="A8" s="0" t="s">
        <v>7</v>
      </c>
      <c r="B8" s="3" t="n">
        <v>12000</v>
      </c>
    </row>
    <row r="9" customFormat="false" ht="15" hidden="false" customHeight="false" outlineLevel="0" collapsed="false">
      <c r="A9" s="0" t="s">
        <v>8</v>
      </c>
      <c r="B9" s="3" t="n">
        <v>15000</v>
      </c>
    </row>
    <row r="10" customFormat="false" ht="15" hidden="false" customHeight="false" outlineLevel="0" collapsed="false">
      <c r="A10" s="0" t="s">
        <v>9</v>
      </c>
      <c r="B10" s="3" t="n">
        <v>6000</v>
      </c>
    </row>
    <row r="11" customFormat="false" ht="15" hidden="false" customHeight="false" outlineLevel="0" collapsed="false">
      <c r="A11" s="0" t="s">
        <v>10</v>
      </c>
      <c r="B11" s="3" t="n">
        <v>6500</v>
      </c>
    </row>
    <row r="12" customFormat="false" ht="15" hidden="false" customHeight="false" outlineLevel="0" collapsed="false">
      <c r="A12" s="0" t="s">
        <v>11</v>
      </c>
      <c r="B12" s="3" t="n">
        <v>3000</v>
      </c>
    </row>
    <row r="13" customFormat="false" ht="15" hidden="false" customHeight="false" outlineLevel="0" collapsed="false">
      <c r="A13" s="0" t="s">
        <v>12</v>
      </c>
      <c r="B13" s="3" t="n">
        <v>2500</v>
      </c>
    </row>
    <row r="14" customFormat="false" ht="15" hidden="false" customHeight="false" outlineLevel="0" collapsed="false">
      <c r="A14" s="0" t="s">
        <v>13</v>
      </c>
      <c r="B14" s="3" t="n">
        <v>5000</v>
      </c>
    </row>
    <row r="15" customFormat="false" ht="15" hidden="false" customHeight="false" outlineLevel="0" collapsed="false">
      <c r="A15" s="0" t="s">
        <v>14</v>
      </c>
      <c r="B15" s="3" t="n">
        <v>22000</v>
      </c>
    </row>
    <row r="16" customFormat="false" ht="15" hidden="false" customHeight="false" outlineLevel="0" collapsed="false">
      <c r="A16" s="0" t="s">
        <v>15</v>
      </c>
      <c r="B16" s="3" t="n">
        <v>30000</v>
      </c>
    </row>
    <row r="17" customFormat="false" ht="15" hidden="false" customHeight="false" outlineLevel="0" collapsed="false">
      <c r="A17" s="0" t="s">
        <v>16</v>
      </c>
      <c r="B17" s="3" t="n">
        <v>4000</v>
      </c>
    </row>
    <row r="18" customFormat="false" ht="15" hidden="false" customHeight="false" outlineLevel="0" collapsed="false">
      <c r="A18" s="0" t="s">
        <v>17</v>
      </c>
      <c r="B18" s="4" t="n">
        <v>0.1</v>
      </c>
    </row>
    <row r="19" customFormat="false" ht="15" hidden="false" customHeight="false" outlineLevel="0" collapsed="false">
      <c r="A19" s="0" t="s">
        <v>18</v>
      </c>
      <c r="B19" s="3" t="n">
        <v>6000</v>
      </c>
    </row>
    <row r="20" customFormat="false" ht="15" hidden="false" customHeight="false" outlineLevel="0" collapsed="false">
      <c r="A20" s="0" t="s">
        <v>19</v>
      </c>
      <c r="B20" s="3" t="n">
        <v>600</v>
      </c>
    </row>
    <row r="21" customFormat="false" ht="15" hidden="false" customHeight="false" outlineLevel="0" collapsed="false">
      <c r="A21" s="0" t="s">
        <v>20</v>
      </c>
      <c r="B21" s="3" t="n">
        <v>500</v>
      </c>
    </row>
    <row r="22" customFormat="false" ht="15" hidden="false" customHeight="false" outlineLevel="0" collapsed="false">
      <c r="A22" s="0" t="s">
        <v>21</v>
      </c>
      <c r="B22" s="3" t="n">
        <v>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8" min="2" style="0" width="12"/>
  </cols>
  <sheetData>
    <row r="1" customFormat="false" ht="16.1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  <row r="3" customFormat="false" ht="15" hidden="false" customHeight="false" outlineLevel="0" collapsed="false">
      <c r="A3" s="6" t="s">
        <v>31</v>
      </c>
    </row>
    <row r="4" customFormat="false" ht="15" hidden="false" customHeight="false" outlineLevel="0" collapsed="false">
      <c r="A4" s="0" t="s">
        <v>32</v>
      </c>
      <c r="B4" s="7" t="n">
        <f aca="false">Assumptions!$B$3</f>
        <v>18000</v>
      </c>
      <c r="C4" s="7" t="n">
        <f aca="false">B4+Assumptions!$B$19+(C10-B10)-Assumptions!$B$17+Assumptions!$B$17-Assumptions!$B$20-Assumptions!$B$21+Assumptions!$B$22</f>
        <v>27700</v>
      </c>
      <c r="D4" s="7" t="n">
        <f aca="false">C4+Assumptions!$B$19+(D10-C10)-Assumptions!$B$17+Assumptions!$B$17-Assumptions!$B$20-Assumptions!$B$21+Assumptions!$B$22</f>
        <v>37800</v>
      </c>
      <c r="E4" s="7" t="n">
        <f aca="false">D4+Assumptions!$B$19+(E10-D10)-Assumptions!$B$17+Assumptions!$B$17-Assumptions!$B$20-Assumptions!$B$21+Assumptions!$B$22</f>
        <v>48300</v>
      </c>
      <c r="F4" s="7" t="n">
        <f aca="false">E4+Assumptions!$B$19+(F10-E10)-Assumptions!$B$17+Assumptions!$B$17-Assumptions!$B$20-Assumptions!$B$21+Assumptions!$B$22</f>
        <v>59200</v>
      </c>
      <c r="G4" s="7" t="n">
        <f aca="false">F4+Assumptions!$B$19+(G10-F10)-Assumptions!$B$17+Assumptions!$B$17-Assumptions!$B$20-Assumptions!$B$21+Assumptions!$B$22</f>
        <v>70500</v>
      </c>
      <c r="H4" s="7" t="n">
        <f aca="false">G4+Assumptions!$B$19+(H10-G10)-Assumptions!$B$17+Assumptions!$B$17-Assumptions!$B$20-Assumptions!$B$21+Assumptions!$B$22</f>
        <v>82200</v>
      </c>
    </row>
    <row r="5" customFormat="false" ht="15" hidden="false" customHeight="false" outlineLevel="0" collapsed="false">
      <c r="A5" s="0" t="s">
        <v>33</v>
      </c>
      <c r="B5" s="7" t="n">
        <f aca="false">Assumptions!$B$4</f>
        <v>9000</v>
      </c>
      <c r="C5" s="7" t="n">
        <f aca="false">B5+Assumptions!$B$20</f>
        <v>9600</v>
      </c>
      <c r="D5" s="7" t="n">
        <f aca="false">C5+Assumptions!$B$20</f>
        <v>10200</v>
      </c>
      <c r="E5" s="7" t="n">
        <f aca="false">D5+Assumptions!$B$20</f>
        <v>10800</v>
      </c>
      <c r="F5" s="7" t="n">
        <f aca="false">E5+Assumptions!$B$20</f>
        <v>11400</v>
      </c>
      <c r="G5" s="7" t="n">
        <f aca="false">F5+Assumptions!$B$20</f>
        <v>12000</v>
      </c>
      <c r="H5" s="7" t="n">
        <f aca="false">G5+Assumptions!$B$20</f>
        <v>12600</v>
      </c>
    </row>
    <row r="6" customFormat="false" ht="15" hidden="false" customHeight="false" outlineLevel="0" collapsed="false">
      <c r="A6" s="0" t="s">
        <v>34</v>
      </c>
      <c r="B6" s="7" t="n">
        <f aca="false">Assumptions!$B$5</f>
        <v>7000</v>
      </c>
      <c r="C6" s="7" t="n">
        <f aca="false">B6+Assumptions!$B$21</f>
        <v>7500</v>
      </c>
      <c r="D6" s="7" t="n">
        <f aca="false">C6+Assumptions!$B$21</f>
        <v>8000</v>
      </c>
      <c r="E6" s="7" t="n">
        <f aca="false">D6+Assumptions!$B$21</f>
        <v>8500</v>
      </c>
      <c r="F6" s="7" t="n">
        <f aca="false">E6+Assumptions!$B$21</f>
        <v>9000</v>
      </c>
      <c r="G6" s="7" t="n">
        <f aca="false">F6+Assumptions!$B$21</f>
        <v>9500</v>
      </c>
      <c r="H6" s="7" t="n">
        <f aca="false">G6+Assumptions!$B$21</f>
        <v>10000</v>
      </c>
    </row>
    <row r="7" customFormat="false" ht="15" hidden="false" customHeight="false" outlineLevel="0" collapsed="false">
      <c r="A7" s="0" t="s">
        <v>35</v>
      </c>
      <c r="B7" s="7" t="n">
        <f aca="false">Assumptions!$B$6</f>
        <v>1500</v>
      </c>
      <c r="C7" s="7" t="n">
        <f aca="false">B7</f>
        <v>1500</v>
      </c>
      <c r="D7" s="7" t="n">
        <f aca="false">C7</f>
        <v>1500</v>
      </c>
      <c r="E7" s="7" t="n">
        <f aca="false">D7</f>
        <v>1500</v>
      </c>
      <c r="F7" s="7" t="n">
        <f aca="false">E7</f>
        <v>1500</v>
      </c>
      <c r="G7" s="7" t="n">
        <f aca="false">F7</f>
        <v>1500</v>
      </c>
      <c r="H7" s="7" t="n">
        <f aca="false">G7</f>
        <v>1500</v>
      </c>
    </row>
    <row r="8" customFormat="false" ht="15" hidden="false" customHeight="false" outlineLevel="0" collapsed="false">
      <c r="A8" s="8" t="s">
        <v>36</v>
      </c>
      <c r="B8" s="9" t="n">
        <f aca="false">SUM(B4:B7)</f>
        <v>35500</v>
      </c>
      <c r="C8" s="9" t="n">
        <f aca="false">SUM(C4:C7)</f>
        <v>46300</v>
      </c>
      <c r="D8" s="9" t="n">
        <f aca="false">SUM(D4:D7)</f>
        <v>57500</v>
      </c>
      <c r="E8" s="9" t="n">
        <f aca="false">SUM(E4:E7)</f>
        <v>69100</v>
      </c>
      <c r="F8" s="9" t="n">
        <f aca="false">SUM(F4:F7)</f>
        <v>81100</v>
      </c>
      <c r="G8" s="9" t="n">
        <f aca="false">SUM(G4:G7)</f>
        <v>93500</v>
      </c>
      <c r="H8" s="9" t="n">
        <f aca="false">SUM(H4:H7)</f>
        <v>106300</v>
      </c>
    </row>
    <row r="9" customFormat="false" ht="15" hidden="false" customHeight="false" outlineLevel="0" collapsed="false">
      <c r="A9" s="0" t="s">
        <v>37</v>
      </c>
      <c r="B9" s="7" t="n">
        <f aca="false">Assumptions!$B$7</f>
        <v>40000</v>
      </c>
      <c r="C9" s="7" t="n">
        <f aca="false">B9+Assumptions!$B$17</f>
        <v>44000</v>
      </c>
      <c r="D9" s="7" t="n">
        <f aca="false">C9+Assumptions!$B$17</f>
        <v>48000</v>
      </c>
      <c r="E9" s="7" t="n">
        <f aca="false">D9+Assumptions!$B$17</f>
        <v>52000</v>
      </c>
      <c r="F9" s="7" t="n">
        <f aca="false">E9+Assumptions!$B$17</f>
        <v>56000</v>
      </c>
      <c r="G9" s="7" t="n">
        <f aca="false">F9+Assumptions!$B$17</f>
        <v>60000</v>
      </c>
      <c r="H9" s="7" t="n">
        <f aca="false">G9+Assumptions!$B$17</f>
        <v>64000</v>
      </c>
    </row>
    <row r="10" customFormat="false" ht="15" hidden="false" customHeight="false" outlineLevel="0" collapsed="false">
      <c r="A10" s="0" t="s">
        <v>38</v>
      </c>
      <c r="B10" s="7" t="n">
        <f aca="false">Assumptions!$B$8</f>
        <v>12000</v>
      </c>
      <c r="C10" s="7" t="n">
        <f aca="false">B10+C9*Assumptions!$B$18</f>
        <v>16400</v>
      </c>
      <c r="D10" s="7" t="n">
        <f aca="false">C10+D9*Assumptions!$B$18</f>
        <v>21200</v>
      </c>
      <c r="E10" s="7" t="n">
        <f aca="false">D10+E9*Assumptions!$B$18</f>
        <v>26400</v>
      </c>
      <c r="F10" s="7" t="n">
        <f aca="false">E10+F9*Assumptions!$B$18</f>
        <v>32000</v>
      </c>
      <c r="G10" s="7" t="n">
        <f aca="false">F10+G9*Assumptions!$B$18</f>
        <v>38000</v>
      </c>
      <c r="H10" s="7" t="n">
        <f aca="false">G10+H9*Assumptions!$B$18</f>
        <v>44400</v>
      </c>
    </row>
    <row r="11" customFormat="false" ht="15" hidden="false" customHeight="false" outlineLevel="0" collapsed="false">
      <c r="A11" s="8" t="s">
        <v>39</v>
      </c>
      <c r="B11" s="9" t="n">
        <f aca="false">B9-B10</f>
        <v>28000</v>
      </c>
      <c r="C11" s="9" t="n">
        <f aca="false">C9-C10</f>
        <v>27600</v>
      </c>
      <c r="D11" s="9" t="n">
        <f aca="false">D9-D10</f>
        <v>26800</v>
      </c>
      <c r="E11" s="9" t="n">
        <f aca="false">E9-E10</f>
        <v>25600</v>
      </c>
      <c r="F11" s="9" t="n">
        <f aca="false">F9-F10</f>
        <v>24000</v>
      </c>
      <c r="G11" s="9" t="n">
        <f aca="false">G9-G10</f>
        <v>22000</v>
      </c>
      <c r="H11" s="9" t="n">
        <f aca="false">H9-H10</f>
        <v>19600</v>
      </c>
    </row>
    <row r="12" customFormat="false" ht="15" hidden="false" customHeight="false" outlineLevel="0" collapsed="false">
      <c r="A12" s="0" t="s">
        <v>8</v>
      </c>
      <c r="B12" s="7" t="n">
        <f aca="false">Assumptions!$B$9</f>
        <v>15000</v>
      </c>
      <c r="C12" s="7" t="n">
        <f aca="false">B12</f>
        <v>15000</v>
      </c>
      <c r="D12" s="7" t="n">
        <f aca="false">C12</f>
        <v>15000</v>
      </c>
      <c r="E12" s="7" t="n">
        <f aca="false">D12</f>
        <v>15000</v>
      </c>
      <c r="F12" s="7" t="n">
        <f aca="false">E12</f>
        <v>15000</v>
      </c>
      <c r="G12" s="7" t="n">
        <f aca="false">F12</f>
        <v>15000</v>
      </c>
      <c r="H12" s="7" t="n">
        <f aca="false">G12</f>
        <v>15000</v>
      </c>
    </row>
    <row r="13" customFormat="false" ht="15" hidden="false" customHeight="false" outlineLevel="0" collapsed="false">
      <c r="A13" s="0" t="s">
        <v>9</v>
      </c>
      <c r="B13" s="7" t="n">
        <f aca="false">Assumptions!$B$10</f>
        <v>6000</v>
      </c>
      <c r="C13" s="7" t="n">
        <f aca="false">B13</f>
        <v>6000</v>
      </c>
      <c r="D13" s="7" t="n">
        <f aca="false">C13</f>
        <v>6000</v>
      </c>
      <c r="E13" s="7" t="n">
        <f aca="false">D13</f>
        <v>6000</v>
      </c>
      <c r="F13" s="7" t="n">
        <f aca="false">E13</f>
        <v>6000</v>
      </c>
      <c r="G13" s="7" t="n">
        <f aca="false">F13</f>
        <v>6000</v>
      </c>
      <c r="H13" s="7" t="n">
        <f aca="false">G13</f>
        <v>6000</v>
      </c>
    </row>
    <row r="14" customFormat="false" ht="15" hidden="false" customHeight="false" outlineLevel="0" collapsed="false">
      <c r="A14" s="8" t="s">
        <v>40</v>
      </c>
      <c r="B14" s="9" t="n">
        <f aca="false">B11+B12+B13</f>
        <v>49000</v>
      </c>
      <c r="C14" s="9" t="n">
        <f aca="false">C11+C12+C13</f>
        <v>48600</v>
      </c>
      <c r="D14" s="9" t="n">
        <f aca="false">D11+D12+D13</f>
        <v>47800</v>
      </c>
      <c r="E14" s="9" t="n">
        <f aca="false">E11+E12+E13</f>
        <v>46600</v>
      </c>
      <c r="F14" s="9" t="n">
        <f aca="false">F11+F12+F13</f>
        <v>45000</v>
      </c>
      <c r="G14" s="9" t="n">
        <f aca="false">G11+G12+G13</f>
        <v>43000</v>
      </c>
      <c r="H14" s="9" t="n">
        <f aca="false">H11+H12+H13</f>
        <v>40600</v>
      </c>
    </row>
    <row r="15" customFormat="false" ht="15" hidden="false" customHeight="false" outlineLevel="0" collapsed="false">
      <c r="A15" s="8" t="s">
        <v>41</v>
      </c>
      <c r="B15" s="9" t="n">
        <f aca="false">B8+B14</f>
        <v>84500</v>
      </c>
      <c r="C15" s="9" t="n">
        <f aca="false">C8+C14</f>
        <v>94900</v>
      </c>
      <c r="D15" s="9" t="n">
        <f aca="false">D8+D14</f>
        <v>105300</v>
      </c>
      <c r="E15" s="9" t="n">
        <f aca="false">E8+E14</f>
        <v>115700</v>
      </c>
      <c r="F15" s="9" t="n">
        <f aca="false">F8+F14</f>
        <v>126100</v>
      </c>
      <c r="G15" s="9" t="n">
        <f aca="false">G8+G14</f>
        <v>136500</v>
      </c>
      <c r="H15" s="9" t="n">
        <f aca="false">H8+H14</f>
        <v>146900</v>
      </c>
    </row>
    <row r="16" customFormat="false" ht="15" hidden="false" customHeight="false" outlineLevel="0" collapsed="false">
      <c r="A16" s="6" t="s">
        <v>42</v>
      </c>
    </row>
    <row r="17" customFormat="false" ht="15" hidden="false" customHeight="false" outlineLevel="0" collapsed="false">
      <c r="A17" s="0" t="s">
        <v>43</v>
      </c>
      <c r="B17" s="7" t="n">
        <f aca="false">Assumptions!$B$11</f>
        <v>6500</v>
      </c>
      <c r="C17" s="7" t="n">
        <f aca="false">B17+Assumptions!$B$22</f>
        <v>6900</v>
      </c>
      <c r="D17" s="7" t="n">
        <f aca="false">C17+Assumptions!$B$22</f>
        <v>7300</v>
      </c>
      <c r="E17" s="7" t="n">
        <f aca="false">D17+Assumptions!$B$22</f>
        <v>7700</v>
      </c>
      <c r="F17" s="7" t="n">
        <f aca="false">E17+Assumptions!$B$22</f>
        <v>8100</v>
      </c>
      <c r="G17" s="7" t="n">
        <f aca="false">F17+Assumptions!$B$22</f>
        <v>8500</v>
      </c>
      <c r="H17" s="7" t="n">
        <f aca="false">G17+Assumptions!$B$22</f>
        <v>8900</v>
      </c>
    </row>
    <row r="18" customFormat="false" ht="15" hidden="false" customHeight="false" outlineLevel="0" collapsed="false">
      <c r="A18" s="0" t="s">
        <v>44</v>
      </c>
      <c r="B18" s="7" t="n">
        <f aca="false">Assumptions!$B$12</f>
        <v>3000</v>
      </c>
      <c r="C18" s="7" t="n">
        <f aca="false">B18</f>
        <v>3000</v>
      </c>
      <c r="D18" s="7" t="n">
        <f aca="false">C18</f>
        <v>3000</v>
      </c>
      <c r="E18" s="7" t="n">
        <f aca="false">D18</f>
        <v>3000</v>
      </c>
      <c r="F18" s="7" t="n">
        <f aca="false">E18</f>
        <v>3000</v>
      </c>
      <c r="G18" s="7" t="n">
        <f aca="false">F18</f>
        <v>3000</v>
      </c>
      <c r="H18" s="7" t="n">
        <f aca="false">G18</f>
        <v>3000</v>
      </c>
    </row>
    <row r="19" customFormat="false" ht="15" hidden="false" customHeight="false" outlineLevel="0" collapsed="false">
      <c r="A19" s="0" t="s">
        <v>45</v>
      </c>
      <c r="B19" s="7" t="n">
        <f aca="false">Assumptions!$B$13</f>
        <v>2500</v>
      </c>
      <c r="C19" s="7" t="n">
        <f aca="false">B19</f>
        <v>2500</v>
      </c>
      <c r="D19" s="7" t="n">
        <f aca="false">C19</f>
        <v>2500</v>
      </c>
      <c r="E19" s="7" t="n">
        <f aca="false">D19</f>
        <v>2500</v>
      </c>
      <c r="F19" s="7" t="n">
        <f aca="false">E19</f>
        <v>2500</v>
      </c>
      <c r="G19" s="7" t="n">
        <f aca="false">F19</f>
        <v>2500</v>
      </c>
      <c r="H19" s="7" t="n">
        <f aca="false">G19</f>
        <v>2500</v>
      </c>
    </row>
    <row r="20" customFormat="false" ht="15" hidden="false" customHeight="false" outlineLevel="0" collapsed="false">
      <c r="A20" s="0" t="s">
        <v>46</v>
      </c>
      <c r="B20" s="7" t="n">
        <f aca="false">Assumptions!$B$14</f>
        <v>5000</v>
      </c>
      <c r="C20" s="7" t="n">
        <f aca="false">B20</f>
        <v>5000</v>
      </c>
      <c r="D20" s="7" t="n">
        <f aca="false">C20</f>
        <v>5000</v>
      </c>
      <c r="E20" s="7" t="n">
        <f aca="false">D20</f>
        <v>5000</v>
      </c>
      <c r="F20" s="7" t="n">
        <f aca="false">E20</f>
        <v>5000</v>
      </c>
      <c r="G20" s="7" t="n">
        <f aca="false">F20</f>
        <v>5000</v>
      </c>
      <c r="H20" s="7" t="n">
        <f aca="false">G20</f>
        <v>5000</v>
      </c>
    </row>
    <row r="21" customFormat="false" ht="15" hidden="false" customHeight="false" outlineLevel="0" collapsed="false">
      <c r="A21" s="8" t="s">
        <v>47</v>
      </c>
      <c r="B21" s="9" t="n">
        <f aca="false">SUM(B17:B20)</f>
        <v>17000</v>
      </c>
      <c r="C21" s="9" t="n">
        <f aca="false">SUM(C17:C20)</f>
        <v>17400</v>
      </c>
      <c r="D21" s="9" t="n">
        <f aca="false">SUM(D17:D20)</f>
        <v>17800</v>
      </c>
      <c r="E21" s="9" t="n">
        <f aca="false">SUM(E17:E20)</f>
        <v>18200</v>
      </c>
      <c r="F21" s="9" t="n">
        <f aca="false">SUM(F17:F20)</f>
        <v>18600</v>
      </c>
      <c r="G21" s="9" t="n">
        <f aca="false">SUM(G17:G20)</f>
        <v>19000</v>
      </c>
      <c r="H21" s="9" t="n">
        <f aca="false">SUM(H17:H20)</f>
        <v>19400</v>
      </c>
    </row>
    <row r="22" customFormat="false" ht="15" hidden="false" customHeight="false" outlineLevel="0" collapsed="false">
      <c r="A22" s="0" t="s">
        <v>48</v>
      </c>
      <c r="B22" s="7" t="n">
        <f aca="false">Assumptions!$B$15</f>
        <v>22000</v>
      </c>
      <c r="C22" s="7" t="n">
        <f aca="false">B22+Assumptions!$B$17</f>
        <v>26000</v>
      </c>
      <c r="D22" s="7" t="n">
        <f aca="false">C22+Assumptions!$B$17</f>
        <v>30000</v>
      </c>
      <c r="E22" s="7" t="n">
        <f aca="false">D22+Assumptions!$B$17</f>
        <v>34000</v>
      </c>
      <c r="F22" s="7" t="n">
        <f aca="false">E22+Assumptions!$B$17</f>
        <v>38000</v>
      </c>
      <c r="G22" s="7" t="n">
        <f aca="false">F22+Assumptions!$B$17</f>
        <v>42000</v>
      </c>
      <c r="H22" s="7" t="n">
        <f aca="false">G22+Assumptions!$B$17</f>
        <v>46000</v>
      </c>
    </row>
    <row r="23" customFormat="false" ht="15" hidden="false" customHeight="false" outlineLevel="0" collapsed="false">
      <c r="A23" s="8" t="s">
        <v>49</v>
      </c>
      <c r="B23" s="9" t="n">
        <f aca="false">B21+B22</f>
        <v>39000</v>
      </c>
      <c r="C23" s="9" t="n">
        <f aca="false">C21+C22</f>
        <v>43400</v>
      </c>
      <c r="D23" s="9" t="n">
        <f aca="false">D21+D22</f>
        <v>47800</v>
      </c>
      <c r="E23" s="9" t="n">
        <f aca="false">E21+E22</f>
        <v>52200</v>
      </c>
      <c r="F23" s="9" t="n">
        <f aca="false">F21+F22</f>
        <v>56600</v>
      </c>
      <c r="G23" s="9" t="n">
        <f aca="false">G21+G22</f>
        <v>61000</v>
      </c>
      <c r="H23" s="9" t="n">
        <f aca="false">H21+H22</f>
        <v>65400</v>
      </c>
    </row>
    <row r="24" customFormat="false" ht="15" hidden="false" customHeight="false" outlineLevel="0" collapsed="false">
      <c r="A24" s="6" t="s">
        <v>50</v>
      </c>
    </row>
    <row r="25" customFormat="false" ht="15" hidden="false" customHeight="false" outlineLevel="0" collapsed="false">
      <c r="A25" s="0" t="s">
        <v>15</v>
      </c>
      <c r="B25" s="7" t="n">
        <f aca="false">Assumptions!$B$16</f>
        <v>30000</v>
      </c>
      <c r="C25" s="7" t="n">
        <f aca="false">B25</f>
        <v>30000</v>
      </c>
      <c r="D25" s="7" t="n">
        <f aca="false">C25</f>
        <v>30000</v>
      </c>
      <c r="E25" s="7" t="n">
        <f aca="false">D25</f>
        <v>30000</v>
      </c>
      <c r="F25" s="7" t="n">
        <f aca="false">E25</f>
        <v>30000</v>
      </c>
      <c r="G25" s="7" t="n">
        <f aca="false">F25</f>
        <v>30000</v>
      </c>
      <c r="H25" s="7" t="n">
        <f aca="false">G25</f>
        <v>30000</v>
      </c>
    </row>
    <row r="26" customFormat="false" ht="15" hidden="false" customHeight="false" outlineLevel="0" collapsed="false">
      <c r="A26" s="0" t="s">
        <v>51</v>
      </c>
      <c r="B26" s="7" t="n">
        <f aca="false">(B8+B14)-B23-B25</f>
        <v>15500</v>
      </c>
      <c r="C26" s="7" t="n">
        <f aca="false">B26+Assumptions!$B$19</f>
        <v>21500</v>
      </c>
      <c r="D26" s="7" t="n">
        <f aca="false">C26+Assumptions!$B$19</f>
        <v>27500</v>
      </c>
      <c r="E26" s="7" t="n">
        <f aca="false">D26+Assumptions!$B$19</f>
        <v>33500</v>
      </c>
      <c r="F26" s="7" t="n">
        <f aca="false">E26+Assumptions!$B$19</f>
        <v>39500</v>
      </c>
      <c r="G26" s="7" t="n">
        <f aca="false">F26+Assumptions!$B$19</f>
        <v>45500</v>
      </c>
      <c r="H26" s="7" t="n">
        <f aca="false">G26+Assumptions!$B$19</f>
        <v>51500</v>
      </c>
    </row>
    <row r="27" customFormat="false" ht="15" hidden="false" customHeight="false" outlineLevel="0" collapsed="false">
      <c r="A27" s="8" t="s">
        <v>52</v>
      </c>
      <c r="B27" s="9" t="n">
        <f aca="false">B25+B26</f>
        <v>45500</v>
      </c>
      <c r="C27" s="9" t="n">
        <f aca="false">C25+C26</f>
        <v>51500</v>
      </c>
      <c r="D27" s="9" t="n">
        <f aca="false">D25+D26</f>
        <v>57500</v>
      </c>
      <c r="E27" s="9" t="n">
        <f aca="false">E25+E26</f>
        <v>63500</v>
      </c>
      <c r="F27" s="9" t="n">
        <f aca="false">F25+F26</f>
        <v>69500</v>
      </c>
      <c r="G27" s="9" t="n">
        <f aca="false">G25+G26</f>
        <v>75500</v>
      </c>
      <c r="H27" s="9" t="n">
        <f aca="false">H25+H26</f>
        <v>81500</v>
      </c>
    </row>
    <row r="28" customFormat="false" ht="15" hidden="false" customHeight="false" outlineLevel="0" collapsed="false">
      <c r="A28" s="8" t="s">
        <v>53</v>
      </c>
      <c r="B28" s="9" t="n">
        <f aca="false">B23+B27</f>
        <v>84500</v>
      </c>
      <c r="C28" s="9" t="n">
        <f aca="false">C23+C27</f>
        <v>94900</v>
      </c>
      <c r="D28" s="9" t="n">
        <f aca="false">D23+D27</f>
        <v>105300</v>
      </c>
      <c r="E28" s="9" t="n">
        <f aca="false">E23+E27</f>
        <v>115700</v>
      </c>
      <c r="F28" s="9" t="n">
        <f aca="false">F23+F27</f>
        <v>126100</v>
      </c>
      <c r="G28" s="9" t="n">
        <f aca="false">G23+G27</f>
        <v>136500</v>
      </c>
      <c r="H28" s="9" t="n">
        <f aca="false">H23+H27</f>
        <v>146900</v>
      </c>
    </row>
    <row r="29" customFormat="false" ht="15" hidden="false" customHeight="false" outlineLevel="0" collapsed="false">
      <c r="A29" s="8" t="s">
        <v>54</v>
      </c>
      <c r="B29" s="9" t="n">
        <f aca="false">B15-B28</f>
        <v>0</v>
      </c>
      <c r="C29" s="9" t="n">
        <f aca="false">C15-C28</f>
        <v>0</v>
      </c>
      <c r="D29" s="9" t="n">
        <f aca="false">D15-D28</f>
        <v>0</v>
      </c>
      <c r="E29" s="9" t="n">
        <f aca="false">E15-E28</f>
        <v>0</v>
      </c>
      <c r="F29" s="9" t="n">
        <f aca="false">F15-F28</f>
        <v>0</v>
      </c>
      <c r="G29" s="9" t="n">
        <f aca="false">G15-G28</f>
        <v>0</v>
      </c>
      <c r="H29" s="9" t="n">
        <f aca="false">H15-H28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LibreOffice/24.2.1.2$MacOSX_AARCH64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2026-07-25T19:51:37Z</dcterms:created>
  <dc:creator>openpyxl</dc:creator>
  <dc:description/>
  <dc:language>en-US</dc:language>
  <cp:lastModifiedBy/>
  <dcterms:modified xsi:type="dcterms:W3CDTF">2026-07-25T19:51:37Z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