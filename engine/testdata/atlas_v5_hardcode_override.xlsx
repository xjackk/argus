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<sst xmlns="http://schemas.openxmlformats.org/spreadsheetml/2006/main" count="53" uniqueCount="46">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</sst>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0.08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540</v>
      </c>
      <c r="D4" s="12" t="n">
        <f aca="false">C4*(1+Assumptions!$B$11)</f>
        <v>583.2</v>
      </c>
      <c r="E4" s="12" t="n">
        <f aca="false">D4*(1+Assumptions!$B$11)</f>
        <v>629.856</v>
      </c>
      <c r="F4" s="12" t="n">
        <f aca="false">E4*(1+Assumptions!$B$11)</f>
        <v>680.24448</v>
      </c>
      <c r="G4" s="12" t="n">
        <f aca="false">F4*(1+Assumptions!$B$11)</f>
        <v>734.6640384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0.226</v>
      </c>
      <c r="D5" s="13" t="n">
        <f aca="false">Assumptions!$B$12+(Assumptions!$B$13-Assumptions!$B$12)*2/Assumptions!$B$7</f>
        <v>0.232</v>
      </c>
      <c r="E5" s="13" t="n">
        <f aca="false">Assumptions!$B$12+(Assumptions!$B$13-Assumptions!$B$12)*3/Assumptions!$B$7</f>
        <v>0.238</v>
      </c>
      <c r="F5" s="13" t="n">
        <f aca="false">Assumptions!$B$12+(Assumptions!$B$13-Assumptions!$B$12)*4/Assumptions!$B$7</f>
        <v>0.244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122.04</v>
      </c>
      <c r="D6" s="14" t="n">
        <f aca="false">D4*D5</f>
        <v>135.3024</v>
      </c>
      <c r="E6" s="14" t="n">
        <f aca="false">E4*E5</f>
        <v>149.905728</v>
      </c>
      <c r="F6" s="14" t="n">
        <f aca="false">F4*F5</f>
        <v>165.97965312</v>
      </c>
      <c r="G6" s="14" t="n">
        <f aca="false">G4*G5</f>
        <v>183.6660096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-21.6</v>
      </c>
      <c r="D7" s="12" t="n">
        <f aca="false">-D4*0.04</f>
        <v>-23.328</v>
      </c>
      <c r="E7" s="12" t="n">
        <f aca="false">-E4*0.04</f>
        <v>-25.19424</v>
      </c>
      <c r="F7" s="12" t="n">
        <f aca="false">-F4*0.04</f>
        <v>-27.2097792</v>
      </c>
      <c r="G7" s="12" t="n">
        <f aca="false">-G4*0.04</f>
        <v>-29.386561536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100.44</v>
      </c>
      <c r="D8" s="12" t="n">
        <f aca="false">D6+D7</f>
        <v>111.9744</v>
      </c>
      <c r="E8" s="12" t="n">
        <f aca="false">E6+E7</f>
        <v>124.711488</v>
      </c>
      <c r="F8" s="12" t="n">
        <f aca="false">F6+F7</f>
        <v>138.76987392</v>
      </c>
      <c r="G8" s="12" t="n">
        <f aca="false">G6+G7</f>
        <v>154.279448064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67.0275</v>
      </c>
      <c r="D10" s="12" t="n">
        <f aca="false">D8+D9</f>
        <v>81.90315</v>
      </c>
      <c r="E10" s="12" t="n">
        <f aca="false">E8+E9</f>
        <v>97.647363</v>
      </c>
      <c r="F10" s="12" t="n">
        <f aca="false">F8+F9</f>
        <v>114.41216142</v>
      </c>
      <c r="G10" s="12" t="n">
        <f aca="false">G8+G9</f>
        <v>132.357506814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-16.756875</v>
      </c>
      <c r="D11" s="12" t="n">
        <f aca="false">-MAX(D10,0)*Assumptions!$B$18</f>
        <v>-20.4757875</v>
      </c>
      <c r="E11" s="12" t="n">
        <f aca="false">-MAX(E10,0)*Assumptions!$B$18</f>
        <v>-24.41184075</v>
      </c>
      <c r="F11" s="12" t="n">
        <f aca="false">-MAX(F10,0)*Assumptions!$B$18</f>
        <v>-28.603040355</v>
      </c>
      <c r="G11" s="12" t="n">
        <f aca="false">-MAX(G10,0)*Assumptions!$B$18</f>
        <v>-33.0893767035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50.270625</v>
      </c>
      <c r="D12" s="14" t="n">
        <f aca="false">D10+D11</f>
        <v>61.4273625</v>
      </c>
      <c r="E12" s="14" t="n">
        <f aca="false">E10+E11</f>
        <v>73.23552225</v>
      </c>
      <c r="F12" s="14" t="n">
        <f aca="false">F10+F11</f>
        <v>85.809121065</v>
      </c>
      <c r="G12" s="14" t="n">
        <f aca="false">G10+G11</f>
        <v>99.2681301105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183.6660096</v>
      </c>
    </row>
    <row r="9" customFormat="false" ht="15" hidden="false" customHeight="true" outlineLevel="0" collapsed="false">
      <c r="A9" s="17" t="s">
        <v>41</v>
      </c>
      <c r="B9" s="18" t="n">
        <v>2100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263.063295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1836.936705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3.71098324242424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0.299863648612262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2026-07-06T19:54:01Z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