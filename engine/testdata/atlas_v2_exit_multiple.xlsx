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<sst xmlns="http://schemas.openxmlformats.org/spreadsheetml/2006/main" count="53" uniqueCount="46">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</sst>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9.5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0.08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0.075</v>
      </c>
    </row>
    <row r="17" customFormat="false" ht="15" hidden="false" customHeight="true" outlineLevel="0" collapsed="false">
      <c r="A17" s="1" t="s">
        <v>13</v>
      </c>
      <c r="B17" s="8" t="n">
        <v>0.1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540</v>
      </c>
      <c r="D4" s="12" t="n">
        <f aca="false">C4*(1+Assumptions!$B$11)</f>
        <v>583.2</v>
      </c>
      <c r="E4" s="12" t="n">
        <f aca="false">D4*(1+Assumptions!$B$11)</f>
        <v>629.856</v>
      </c>
      <c r="F4" s="12" t="n">
        <f aca="false">E4*(1+Assumptions!$B$11)</f>
        <v>680.24448</v>
      </c>
      <c r="G4" s="12" t="n">
        <f aca="false">F4*(1+Assumptions!$B$11)</f>
        <v>734.6640384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0.226</v>
      </c>
      <c r="D5" s="13" t="n">
        <f aca="false">Assumptions!$B$12+(Assumptions!$B$13-Assumptions!$B$12)*2/Assumptions!$B$7</f>
        <v>0.232</v>
      </c>
      <c r="E5" s="13" t="n">
        <f aca="false">Assumptions!$B$12+(Assumptions!$B$13-Assumptions!$B$12)*3/Assumptions!$B$7</f>
        <v>0.238</v>
      </c>
      <c r="F5" s="13" t="n">
        <f aca="false">Assumptions!$B$12+(Assumptions!$B$13-Assumptions!$B$12)*4/Assumptions!$B$7</f>
        <v>0.244</v>
      </c>
      <c r="G5" s="13" t="n">
        <f aca="false">Assumptions!$B$12+(Assumptions!$B$13-Assumptions!$B$12)*5/Assumptions!$B$7</f>
        <v>0.25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122.04</v>
      </c>
      <c r="D6" s="14" t="n">
        <f aca="false">D4*D5</f>
        <v>135.3024</v>
      </c>
      <c r="E6" s="14" t="n">
        <f aca="false">E4*E5</f>
        <v>149.905728</v>
      </c>
      <c r="F6" s="14" t="n">
        <f aca="false">F4*F5</f>
        <v>165.97965312</v>
      </c>
      <c r="G6" s="14" t="n">
        <f aca="false">G4*G5</f>
        <v>183.6660096</v>
      </c>
    </row>
    <row r="7" customFormat="false" ht="15" hidden="false" customHeight="true" outlineLevel="0" collapsed="false">
      <c r="A7" s="1" t="s">
        <v>26</v>
      </c>
      <c r="B7" s="12" t="n">
        <f aca="false">-B4*0.04</f>
        <v>-20</v>
      </c>
      <c r="C7" s="12" t="n">
        <f aca="false">-C4*0.04</f>
        <v>-21.6</v>
      </c>
      <c r="D7" s="12" t="n">
        <f aca="false">-D4*0.04</f>
        <v>-23.328</v>
      </c>
      <c r="E7" s="12" t="n">
        <f aca="false">-E4*0.04</f>
        <v>-25.19424</v>
      </c>
      <c r="F7" s="12" t="n">
        <f aca="false">-F4*0.04</f>
        <v>-27.2097792</v>
      </c>
      <c r="G7" s="12" t="n">
        <f aca="false">-G4*0.04</f>
        <v>-29.386561536</v>
      </c>
    </row>
    <row r="8" customFormat="false" ht="15" hidden="false" customHeight="true" outlineLevel="0" collapsed="false">
      <c r="A8" s="1" t="s">
        <v>27</v>
      </c>
      <c r="B8" s="12" t="n">
        <f aca="false">B6+B7</f>
        <v>90</v>
      </c>
      <c r="C8" s="12" t="n">
        <f aca="false">C6+C7</f>
        <v>100.44</v>
      </c>
      <c r="D8" s="12" t="n">
        <f aca="false">D6+D7</f>
        <v>111.9744</v>
      </c>
      <c r="E8" s="12" t="n">
        <f aca="false">E6+E7</f>
        <v>124.711488</v>
      </c>
      <c r="F8" s="12" t="n">
        <f aca="false">F6+F7</f>
        <v>138.76987392</v>
      </c>
      <c r="G8" s="12" t="n">
        <f aca="false">G6+G7</f>
        <v>154.279448064</v>
      </c>
    </row>
    <row r="9" customFormat="false" ht="15" hidden="false" customHeight="true" outlineLevel="0" collapsed="false">
      <c r="A9" s="15" t="s">
        <v>28</v>
      </c>
      <c r="B9" s="16" t="n">
        <v>0</v>
      </c>
      <c r="C9" s="11" t="n">
        <f aca="false">-Debt!C4*Assumptions!$B$16</f>
        <v>-33.4125</v>
      </c>
      <c r="D9" s="11" t="n">
        <f aca="false">-Debt!D4*Assumptions!$B$16</f>
        <v>-30.07125</v>
      </c>
      <c r="E9" s="11" t="n">
        <f aca="false">-Debt!E4*Assumptions!$B$16</f>
        <v>-27.064125</v>
      </c>
      <c r="F9" s="11" t="n">
        <f aca="false">-Debt!F4*Assumptions!$B$16</f>
        <v>-24.3577125</v>
      </c>
      <c r="G9" s="11" t="n">
        <f aca="false">-Debt!G4*Assumptions!$B$16</f>
        <v>-21.92194125</v>
      </c>
    </row>
    <row r="10" customFormat="false" ht="15" hidden="false" customHeight="true" outlineLevel="0" collapsed="false">
      <c r="A10" s="1" t="s">
        <v>29</v>
      </c>
      <c r="B10" s="12" t="n">
        <f aca="false">B8+B9</f>
        <v>90</v>
      </c>
      <c r="C10" s="12" t="n">
        <f aca="false">C8+C9</f>
        <v>67.0275</v>
      </c>
      <c r="D10" s="12" t="n">
        <f aca="false">D8+D9</f>
        <v>81.90315</v>
      </c>
      <c r="E10" s="12" t="n">
        <f aca="false">E8+E9</f>
        <v>97.647363</v>
      </c>
      <c r="F10" s="12" t="n">
        <f aca="false">F8+F9</f>
        <v>114.41216142</v>
      </c>
      <c r="G10" s="12" t="n">
        <f aca="false">G8+G9</f>
        <v>132.357506814</v>
      </c>
    </row>
    <row r="11" customFormat="false" ht="15" hidden="false" customHeight="true" outlineLevel="0" collapsed="false">
      <c r="A11" s="1" t="s">
        <v>30</v>
      </c>
      <c r="B11" s="12" t="n">
        <f aca="false">-MAX(B10,0)*Assumptions!$B$18</f>
        <v>-22.5</v>
      </c>
      <c r="C11" s="12" t="n">
        <f aca="false">-MAX(C10,0)*Assumptions!$B$18</f>
        <v>-16.756875</v>
      </c>
      <c r="D11" s="12" t="n">
        <f aca="false">-MAX(D10,0)*Assumptions!$B$18</f>
        <v>-20.4757875</v>
      </c>
      <c r="E11" s="12" t="n">
        <f aca="false">-MAX(E10,0)*Assumptions!$B$18</f>
        <v>-24.41184075</v>
      </c>
      <c r="F11" s="12" t="n">
        <f aca="false">-MAX(F10,0)*Assumptions!$B$18</f>
        <v>-28.603040355</v>
      </c>
      <c r="G11" s="12" t="n">
        <f aca="false">-MAX(G10,0)*Assumptions!$B$18</f>
        <v>-33.0893767035</v>
      </c>
    </row>
    <row r="12" customFormat="false" ht="15" hidden="false" customHeight="true" outlineLevel="0" collapsed="false">
      <c r="A12" s="9" t="s">
        <v>31</v>
      </c>
      <c r="B12" s="14" t="n">
        <f aca="false">B10+B11</f>
        <v>67.5</v>
      </c>
      <c r="C12" s="14" t="n">
        <f aca="false">C10+C11</f>
        <v>50.270625</v>
      </c>
      <c r="D12" s="14" t="n">
        <f aca="false">D10+D11</f>
        <v>61.4273625</v>
      </c>
      <c r="E12" s="14" t="n">
        <f aca="false">E10+E11</f>
        <v>73.23552225</v>
      </c>
      <c r="F12" s="14" t="n">
        <f aca="false">F10+F11</f>
        <v>85.809121065</v>
      </c>
      <c r="G12" s="14" t="n">
        <f aca="false">G10+G11</f>
        <v>99.2681301105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5" t="s">
        <v>33</v>
      </c>
      <c r="B4" s="11" t="n">
        <f aca="false">Assumptions!B6*'P&amp;L'!B6</f>
        <v>495</v>
      </c>
      <c r="C4" s="12" t="n">
        <f aca="false">B5</f>
        <v>445.5</v>
      </c>
      <c r="D4" s="12" t="n">
        <f aca="false">C5</f>
        <v>400.95</v>
      </c>
      <c r="E4" s="12" t="n">
        <f aca="false">D5</f>
        <v>360.855</v>
      </c>
      <c r="F4" s="12" t="n">
        <f aca="false">E5</f>
        <v>324.7695</v>
      </c>
      <c r="G4" s="12" t="n">
        <f aca="false">F5</f>
        <v>292.29255</v>
      </c>
    </row>
    <row r="5" customFormat="false" ht="15" hidden="false" customHeight="true" outlineLevel="0" collapsed="false">
      <c r="A5" s="9" t="s">
        <v>34</v>
      </c>
      <c r="B5" s="14" t="n">
        <f aca="false">B4*(1-Assumptions!$B$17)</f>
        <v>445.5</v>
      </c>
      <c r="C5" s="14" t="n">
        <f aca="false">C4*(1-Assumptions!$B$17)</f>
        <v>400.95</v>
      </c>
      <c r="D5" s="14" t="n">
        <f aca="false">D4*(1-Assumptions!$B$17)</f>
        <v>360.855</v>
      </c>
      <c r="E5" s="14" t="n">
        <f aca="false">E4*(1-Assumptions!$B$17)</f>
        <v>324.7695</v>
      </c>
      <c r="F5" s="14" t="n">
        <f aca="false">F4*(1-Assumptions!$B$17)</f>
        <v>292.29255</v>
      </c>
      <c r="G5" s="14" t="n">
        <f aca="false">G4*(1-Assumptions!$B$17)</f>
        <v>263.063295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17" t="s">
        <v>36</v>
      </c>
      <c r="B3" s="18" t="n">
        <f aca="false">'P&amp;L'!B6</f>
        <v>110</v>
      </c>
    </row>
    <row r="4" customFormat="false" ht="15" hidden="false" customHeight="true" outlineLevel="0" collapsed="false">
      <c r="A4" s="17" t="s">
        <v>37</v>
      </c>
      <c r="B4" s="18" t="n">
        <f aca="false">Assumptions!B4*B3</f>
        <v>990</v>
      </c>
    </row>
    <row r="5" customFormat="false" ht="15" hidden="false" customHeight="true" outlineLevel="0" collapsed="false">
      <c r="A5" s="17" t="s">
        <v>38</v>
      </c>
      <c r="B5" s="18" t="n">
        <f aca="false">Debt!B4</f>
        <v>495</v>
      </c>
    </row>
    <row r="6" customFormat="false" ht="15" hidden="false" customHeight="true" outlineLevel="0" collapsed="false">
      <c r="A6" s="17" t="s">
        <v>39</v>
      </c>
      <c r="B6" s="19" t="n">
        <f aca="false">B4-B5</f>
        <v>495</v>
      </c>
    </row>
    <row r="8" customFormat="false" ht="15" hidden="false" customHeight="true" outlineLevel="0" collapsed="false">
      <c r="A8" s="17" t="s">
        <v>40</v>
      </c>
      <c r="B8" s="18" t="n">
        <f aca="false">'P&amp;L'!G6</f>
        <v>183.6660096</v>
      </c>
    </row>
    <row r="9" customFormat="false" ht="15" hidden="false" customHeight="true" outlineLevel="0" collapsed="false">
      <c r="A9" s="17" t="s">
        <v>41</v>
      </c>
      <c r="B9" s="18" t="n">
        <f aca="false">Assumptions!B5*B8</f>
        <v>1744.8270912</v>
      </c>
    </row>
    <row r="10" customFormat="false" ht="15" hidden="false" customHeight="true" outlineLevel="0" collapsed="false">
      <c r="A10" s="17" t="s">
        <v>42</v>
      </c>
      <c r="B10" s="18" t="n">
        <f aca="false">Debt!G5</f>
        <v>263.063295</v>
      </c>
    </row>
    <row r="11" customFormat="false" ht="15" hidden="false" customHeight="true" outlineLevel="0" collapsed="false">
      <c r="A11" s="17" t="s">
        <v>43</v>
      </c>
      <c r="B11" s="19" t="n">
        <f aca="false">B9-B10</f>
        <v>1481.7637962</v>
      </c>
    </row>
    <row r="13" customFormat="false" ht="15" hidden="false" customHeight="true" outlineLevel="0" collapsed="false">
      <c r="A13" s="20" t="s">
        <v>44</v>
      </c>
      <c r="B13" s="21" t="n">
        <f aca="false">B11/B6</f>
        <v>2.99346221454546</v>
      </c>
    </row>
    <row r="14" customFormat="false" ht="15" hidden="false" customHeight="true" outlineLevel="0" collapsed="false">
      <c r="A14" s="20" t="s">
        <v>45</v>
      </c>
      <c r="B14" s="22" t="n">
        <f aca="false">(B11/B6)^(1/Assumptions!B7)-1</f>
        <v>0.24518751092498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2026-07-06T19:54:00Z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