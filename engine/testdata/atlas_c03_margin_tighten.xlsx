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<sst xmlns="http://schemas.openxmlformats.org/spreadsheetml/2006/main" count="53" uniqueCount="46">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</sst>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0.235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0.223</v>
      </c>
      <c r="D5" s="13" t="n">
        <f aca="false">Assumptions!$B$12+(Assumptions!$B$13-Assumptions!$B$12)*2/Assumptions!$B$7</f>
        <v>0.226</v>
      </c>
      <c r="E5" s="13" t="n">
        <f aca="false">Assumptions!$B$12+(Assumptions!$B$13-Assumptions!$B$12)*3/Assumptions!$B$7</f>
        <v>0.229</v>
      </c>
      <c r="F5" s="13" t="n">
        <f aca="false">Assumptions!$B$12+(Assumptions!$B$13-Assumptions!$B$12)*4/Assumptions!$B$7</f>
        <v>0.232</v>
      </c>
      <c r="G5" s="13" t="n">
        <f aca="false">Assumptions!$B$12+(Assumptions!$B$13-Assumptions!$B$12)*5/Assumptions!$B$7</f>
        <v>0.235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122.0925</v>
      </c>
      <c r="D6" s="14" t="n">
        <f aca="false">D4*D5</f>
        <v>135.489825</v>
      </c>
      <c r="E6" s="14" t="n">
        <f aca="false">E4*E5</f>
        <v>150.3307569375</v>
      </c>
      <c r="F6" s="14" t="n">
        <f aca="false">F4*F5</f>
        <v>166.7686702725</v>
      </c>
      <c r="G6" s="14" t="n">
        <f aca="false">G4*G5</f>
        <v>184.973052059789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-21.9</v>
      </c>
      <c r="D7" s="12" t="n">
        <f aca="false">-D4*0.04</f>
        <v>-23.9805</v>
      </c>
      <c r="E7" s="12" t="n">
        <f aca="false">-E4*0.04</f>
        <v>-26.2586475</v>
      </c>
      <c r="F7" s="12" t="n">
        <f aca="false">-F4*0.04</f>
        <v>-28.7532190125</v>
      </c>
      <c r="G7" s="12" t="n">
        <f aca="false">-G4*0.04</f>
        <v>-31.4847748186875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100.1925</v>
      </c>
      <c r="D8" s="12" t="n">
        <f aca="false">D6+D7</f>
        <v>111.509325</v>
      </c>
      <c r="E8" s="12" t="n">
        <f aca="false">E6+E7</f>
        <v>124.0721094375</v>
      </c>
      <c r="F8" s="12" t="n">
        <f aca="false">F6+F7</f>
        <v>138.01545126</v>
      </c>
      <c r="G8" s="12" t="n">
        <f aca="false">G6+G7</f>
        <v>153.488277241102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66.78</v>
      </c>
      <c r="D10" s="12" t="n">
        <f aca="false">D8+D9</f>
        <v>81.438075</v>
      </c>
      <c r="E10" s="12" t="n">
        <f aca="false">E8+E9</f>
        <v>97.0079844375</v>
      </c>
      <c r="F10" s="12" t="n">
        <f aca="false">F8+F9</f>
        <v>113.65773876</v>
      </c>
      <c r="G10" s="12" t="n">
        <f aca="false">G8+G9</f>
        <v>131.566335991102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-16.695</v>
      </c>
      <c r="D11" s="12" t="n">
        <f aca="false">-MAX(D10,0)*Assumptions!$B$18</f>
        <v>-20.35951875</v>
      </c>
      <c r="E11" s="12" t="n">
        <f aca="false">-MAX(E10,0)*Assumptions!$B$18</f>
        <v>-24.251996109375</v>
      </c>
      <c r="F11" s="12" t="n">
        <f aca="false">-MAX(F10,0)*Assumptions!$B$18</f>
        <v>-28.41443469</v>
      </c>
      <c r="G11" s="12" t="n">
        <f aca="false">-MAX(G10,0)*Assumptions!$B$18</f>
        <v>-32.8915839977754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50.085</v>
      </c>
      <c r="D12" s="14" t="n">
        <f aca="false">D10+D11</f>
        <v>61.07855625</v>
      </c>
      <c r="E12" s="14" t="n">
        <f aca="false">E10+E11</f>
        <v>72.755988328125</v>
      </c>
      <c r="F12" s="14" t="n">
        <f aca="false">F10+F11</f>
        <v>85.24330407</v>
      </c>
      <c r="G12" s="14" t="n">
        <f aca="false">G10+G11</f>
        <v>98.6747519933261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184.973052059789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1942.21704662778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263.063295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1679.15375162778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3.39222980126825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0.276724090133886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