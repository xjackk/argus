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<sst xmlns="http://schemas.openxmlformats.org/spreadsheetml/2006/main" count="53" uniqueCount="46">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</sst>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0.065</v>
      </c>
    </row>
    <row r="12" customFormat="false" ht="15" hidden="false" customHeight="true" outlineLevel="0" collapsed="false">
      <c r="A12" s="1" t="s">
        <v>9</v>
      </c>
      <c r="B12" s="8" t="n">
        <v>0.2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0.0825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532.5</v>
      </c>
      <c r="D4" s="12" t="n">
        <f aca="false">C4*(1+Assumptions!$B$11)</f>
        <v>567.1125</v>
      </c>
      <c r="E4" s="12" t="n">
        <f aca="false">D4*(1+Assumptions!$B$11)</f>
        <v>603.9748125</v>
      </c>
      <c r="F4" s="12" t="n">
        <f aca="false">E4*(1+Assumptions!$B$11)</f>
        <v>643.2331753125</v>
      </c>
      <c r="G4" s="12" t="n">
        <f aca="false">F4*(1+Assumptions!$B$11)</f>
        <v>685.043331707812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</v>
      </c>
      <c r="C5" s="13" t="n">
        <f aca="false">Assumptions!$B$12+(Assumptions!$B$13-Assumptions!$B$12)*1/Assumptions!$B$7</f>
        <v>0.21</v>
      </c>
      <c r="D5" s="13" t="n">
        <f aca="false">Assumptions!$B$12+(Assumptions!$B$13-Assumptions!$B$12)*2/Assumptions!$B$7</f>
        <v>0.22</v>
      </c>
      <c r="E5" s="13" t="n">
        <f aca="false">Assumptions!$B$12+(Assumptions!$B$13-Assumptions!$B$12)*3/Assumptions!$B$7</f>
        <v>0.23</v>
      </c>
      <c r="F5" s="13" t="n">
        <f aca="false">Assumptions!$B$12+(Assumptions!$B$13-Assumptions!$B$12)*4/Assumptions!$B$7</f>
        <v>0.24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100</v>
      </c>
      <c r="C6" s="14" t="n">
        <f aca="false">C4*C5</f>
        <v>111.825</v>
      </c>
      <c r="D6" s="14" t="n">
        <f aca="false">D4*D5</f>
        <v>124.76475</v>
      </c>
      <c r="E6" s="14" t="n">
        <f aca="false">E4*E5</f>
        <v>138.914206875</v>
      </c>
      <c r="F6" s="14" t="n">
        <f aca="false">F4*F5</f>
        <v>154.375962075</v>
      </c>
      <c r="G6" s="14" t="n">
        <f aca="false">G4*G5</f>
        <v>171.260832926953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-21.3</v>
      </c>
      <c r="D7" s="12" t="n">
        <f aca="false">-D4*0.04</f>
        <v>-22.6845</v>
      </c>
      <c r="E7" s="12" t="n">
        <f aca="false">-E4*0.04</f>
        <v>-24.1589925</v>
      </c>
      <c r="F7" s="12" t="n">
        <f aca="false">-F4*0.04</f>
        <v>-25.7293270125</v>
      </c>
      <c r="G7" s="12" t="n">
        <f aca="false">-G4*0.04</f>
        <v>-27.4017332683125</v>
      </c>
    </row>
    <row r="8" customFormat="false" ht="15" hidden="false" customHeight="true" outlineLevel="0" collapsed="false">
      <c r="A8" s="1" t="s">
        <v>27</v>
      </c>
      <c r="B8" s="12" t="n">
        <f aca="false">B6+B7</f>
        <v>80</v>
      </c>
      <c r="C8" s="12" t="n">
        <f aca="false">C6+C7</f>
        <v>90.525</v>
      </c>
      <c r="D8" s="12" t="n">
        <f aca="false">D6+D7</f>
        <v>102.08025</v>
      </c>
      <c r="E8" s="12" t="n">
        <f aca="false">E6+E7</f>
        <v>114.755214375</v>
      </c>
      <c r="F8" s="12" t="n">
        <f aca="false">F6+F7</f>
        <v>128.6466350625</v>
      </c>
      <c r="G8" s="12" t="n">
        <f aca="false">G6+G7</f>
        <v>143.859099658641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80</v>
      </c>
      <c r="C10" s="12" t="n">
        <f aca="false">C8+C9</f>
        <v>57.1125</v>
      </c>
      <c r="D10" s="12" t="n">
        <f aca="false">D8+D9</f>
        <v>72.009</v>
      </c>
      <c r="E10" s="12" t="n">
        <f aca="false">E8+E9</f>
        <v>87.691089375</v>
      </c>
      <c r="F10" s="12" t="n">
        <f aca="false">F8+F9</f>
        <v>104.2889225625</v>
      </c>
      <c r="G10" s="12" t="n">
        <f aca="false">G8+G9</f>
        <v>121.937158408641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-20</v>
      </c>
      <c r="C11" s="12" t="n">
        <f aca="false">-MAX(C10,0)*Assumptions!$B$18</f>
        <v>-14.278125</v>
      </c>
      <c r="D11" s="12" t="n">
        <f aca="false">-MAX(D10,0)*Assumptions!$B$18</f>
        <v>-18.00225</v>
      </c>
      <c r="E11" s="12" t="n">
        <f aca="false">-MAX(E10,0)*Assumptions!$B$18</f>
        <v>-21.92277234375</v>
      </c>
      <c r="F11" s="12" t="n">
        <f aca="false">-MAX(F10,0)*Assumptions!$B$18</f>
        <v>-26.072230640625</v>
      </c>
      <c r="G11" s="12" t="n">
        <f aca="false">-MAX(G10,0)*Assumptions!$B$18</f>
        <v>-30.4842896021601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60</v>
      </c>
      <c r="C12" s="14" t="n">
        <f aca="false">C10+C11</f>
        <v>42.834375</v>
      </c>
      <c r="D12" s="14" t="n">
        <f aca="false">D10+D11</f>
        <v>54.00675</v>
      </c>
      <c r="E12" s="14" t="n">
        <f aca="false">E10+E11</f>
        <v>65.76831703125</v>
      </c>
      <c r="F12" s="14" t="n">
        <f aca="false">F10+F11</f>
        <v>78.216691921875</v>
      </c>
      <c r="G12" s="14" t="n">
        <f aca="false">G10+G11</f>
        <v>91.4528688064804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450</v>
      </c>
      <c r="C4" s="12" t="n">
        <f aca="false">B5</f>
        <v>405</v>
      </c>
      <c r="D4" s="12" t="n">
        <f aca="false">C5</f>
        <v>364.5</v>
      </c>
      <c r="E4" s="12" t="n">
        <f aca="false">D5</f>
        <v>328.05</v>
      </c>
      <c r="F4" s="12" t="n">
        <f aca="false">E5</f>
        <v>295.245</v>
      </c>
      <c r="G4" s="12" t="n">
        <f aca="false">F5</f>
        <v>265.7205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405</v>
      </c>
      <c r="C5" s="14" t="n">
        <f aca="false">C4*(1-Assumptions!$B$17)</f>
        <v>364.5</v>
      </c>
      <c r="D5" s="14" t="n">
        <f aca="false">D4*(1-Assumptions!$B$17)</f>
        <v>328.05</v>
      </c>
      <c r="E5" s="14" t="n">
        <f aca="false">E4*(1-Assumptions!$B$17)</f>
        <v>295.245</v>
      </c>
      <c r="F5" s="14" t="n">
        <f aca="false">F4*(1-Assumptions!$B$17)</f>
        <v>265.7205</v>
      </c>
      <c r="G5" s="14" t="n">
        <f aca="false">G4*(1-Assumptions!$B$17)</f>
        <v>239.14845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100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900</v>
      </c>
    </row>
    <row r="5" customFormat="false" ht="15" hidden="false" customHeight="true" outlineLevel="0" collapsed="false">
      <c r="A5" s="17" t="s">
        <v>38</v>
      </c>
      <c r="B5" s="18" t="n">
        <f aca="false">Debt!B4</f>
        <v>450</v>
      </c>
    </row>
    <row r="6" customFormat="false" ht="15" hidden="false" customHeight="true" outlineLevel="0" collapsed="false">
      <c r="A6" s="17" t="s">
        <v>39</v>
      </c>
      <c r="B6" s="19" t="n">
        <f aca="false">B4-B5</f>
        <v>450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171.260832926953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1798.23874573301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239.14845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1559.09029573301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3.46464510162891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0.282129081112089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2026-07-06T19:54:01Z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