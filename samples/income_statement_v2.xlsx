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<sst xmlns="http://schemas.openxmlformats.org/spreadsheetml/2006/main" count="41" uniqueCount="40">
  <si>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Assumptions &amp; Drivers</t>
  </si>
  <si>
    <t xml:space="preserve">(blue cells are authored inputs)</t>
  </si>
  <si>
    <t xml:space="preserve">Base Revenue (FY20, $000)</t>
  </si>
  <si>
    <t xml:space="preserve">Revenue Growth %</t>
  </si>
  <si>
    <t xml:space="preserve">Gross Margin %</t>
  </si>
  <si>
    <t xml:space="preserve">SG&amp;A % of Revenue</t>
  </si>
  <si>
    <t xml:space="preserve">R&amp;D % of Revenue</t>
  </si>
  <si>
    <t xml:space="preserve">Marketing % of Revenue</t>
  </si>
  <si>
    <t xml:space="preserve">G&amp;A % of Revenue</t>
  </si>
  <si>
    <t xml:space="preserve">D&amp;A % of Revenue</t>
  </si>
  <si>
    <t xml:space="preserve">Interest Rate on Debt</t>
  </si>
  <si>
    <t xml:space="preserve">Debt Balance ($000)</t>
  </si>
  <si>
    <t xml:space="preserve">Tax Rate</t>
  </si>
  <si>
    <t xml:space="preserve">Income Statement (USD $000)</t>
  </si>
  <si>
    <t xml:space="preserve">($ in thousands)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</si>
  <si>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</si>
  <si>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</si>
  <si>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</si>
  <si>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</si>
  <si>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</si>
  <si>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</si>
  <si>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</si>
  <si>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</t>
  </si>
  <si>
    <t xml:space="preserve">Revenue</t>
  </si>
  <si>
    <t xml:space="preserve">Cost of Goods Sold</t>
  </si>
  <si>
    <t xml:space="preserve">Gross Profit</t>
  </si>
  <si>
    <t xml:space="preserve">SG&amp;A</t>
  </si>
  <si>
    <t xml:space="preserve">Research &amp; Development</t>
  </si>
  <si>
    <t xml:space="preserve">Marketing</t>
  </si>
  <si>
    <t xml:space="preserve">General &amp; Administrative</t>
  </si>
  <si>
    <t xml:space="preserve">Total Operating Expenses</t>
  </si>
  <si>
    <t xml:space="preserve">EBITDA</t>
  </si>
  <si>
    <t xml:space="preserve">Depreciation &amp; Amortization</t>
  </si>
  <si>
    <t xml:space="preserve">Operating Income (EBIT)</t>
  </si>
  <si>
    <t xml:space="preserve">Interest Expense</t>
  </si>
  <si>
    <t xml:space="preserve">Pretax Income</t>
  </si>
  <si>
    <t xml:space="preserve">Income Tax</t>
  </si>
  <si>
    <t xml:space="preserve">Net Income</t>
  </si>
  <si>
    <t xml:space="preserve">EBITDA Margin %</t>
  </si>
  <si>
    <t xml:space="preserve">Net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</si>
</sst>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42000</v>
      </c>
    </row>
    <row r="4" customFormat="false" ht="15" hidden="false" customHeight="false" outlineLevel="0" collapsed="false">
      <c r="A4" s="3" t="s">
        <v>3</v>
      </c>
      <c r="B4" s="5" t="n">
        <v>0.16</v>
      </c>
    </row>
    <row r="5" customFormat="false" ht="15" hidden="false" customHeight="false" outlineLevel="0" collapsed="false">
      <c r="A5" s="3" t="s">
        <v>4</v>
      </c>
      <c r="B5" s="5" t="n">
        <v>0.62</v>
      </c>
    </row>
    <row r="6" customFormat="false" ht="15" hidden="false" customHeight="false" outlineLevel="0" collapsed="false">
      <c r="A6" s="3" t="s">
        <v>5</v>
      </c>
      <c r="B6" s="5" t="n">
        <v>0.14</v>
      </c>
    </row>
    <row r="7" customFormat="false" ht="15" hidden="false" customHeight="false" outlineLevel="0" collapsed="false">
      <c r="A7" s="3" t="s">
        <v>6</v>
      </c>
      <c r="B7" s="5" t="n">
        <v>0.09</v>
      </c>
    </row>
    <row r="8" customFormat="false" ht="15" hidden="false" customHeight="false" outlineLevel="0" collapsed="false">
      <c r="A8" s="3" t="s">
        <v>7</v>
      </c>
      <c r="B8" s="5" t="n">
        <v>0.07</v>
      </c>
    </row>
    <row r="9" customFormat="false" ht="15" hidden="false" customHeight="false" outlineLevel="0" collapsed="false">
      <c r="A9" s="3" t="s">
        <v>8</v>
      </c>
      <c r="B9" s="5" t="n">
        <v>0.05</v>
      </c>
    </row>
    <row r="10" customFormat="false" ht="15" hidden="false" customHeight="false" outlineLevel="0" collapsed="false">
      <c r="A10" s="3" t="s">
        <v>9</v>
      </c>
      <c r="B10" s="5" t="n">
        <v>0.04</v>
      </c>
    </row>
    <row r="11" customFormat="false" ht="15" hidden="false" customHeight="false" outlineLevel="0" collapsed="false">
      <c r="A11" s="3" t="s">
        <v>10</v>
      </c>
      <c r="B11" s="5" t="n">
        <v>0.06</v>
      </c>
    </row>
    <row r="12" customFormat="false" ht="15" hidden="false" customHeight="false" outlineLevel="0" collapsed="false">
      <c r="A12" s="3" t="s">
        <v>11</v>
      </c>
      <c r="B12" s="4" t="n">
        <v>20000</v>
      </c>
    </row>
    <row r="13" customFormat="false" ht="15" hidden="false" customHeight="false" outlineLevel="0" collapsed="false">
      <c r="A13" s="3" t="s">
        <v>12</v>
      </c>
      <c r="B13" s="5" t="n">
        <v>0.24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</row>
    <row r="3" customFormat="false" ht="15" hidden="false" customHeight="false" outlineLevel="0" collapsed="false">
      <c r="A3" s="3" t="s">
        <v>23</v>
      </c>
      <c r="B3" s="7" t="n">
        <f aca="false">Assumptions!$B$3</f>
        <v>42000</v>
      </c>
      <c r="C3" s="7" t="n">
        <f aca="false">B3*(1+Assumptions!$B$4)</f>
        <v>48720</v>
      </c>
      <c r="D3" s="7" t="n">
        <f aca="false">C3*(1+Assumptions!$B$4)</f>
        <v>56515.2</v>
      </c>
      <c r="E3" s="7" t="n">
        <f aca="false">D3*(1+Assumptions!$B$4)</f>
        <v>65557.632</v>
      </c>
      <c r="F3" s="7" t="n">
        <f aca="false">E3*(1+Assumptions!$B$4)</f>
        <v>76046.85312</v>
      </c>
      <c r="G3" s="7" t="n">
        <f aca="false">F3*(1+Assumptions!$B$4)</f>
        <v>88214.3496192</v>
      </c>
      <c r="H3" s="7" t="n">
        <f aca="false">G3*(1+Assumptions!$B$4)</f>
        <v>102328.645558272</v>
      </c>
      <c r="I3" s="7" t="n">
        <f aca="false">H3*(1+Assumptions!$B$4)</f>
        <v>118701.228847595</v>
      </c>
    </row>
    <row r="4" customFormat="false" ht="15" hidden="false" customHeight="false" outlineLevel="0" collapsed="false">
      <c r="A4" s="3" t="s">
        <v>24</v>
      </c>
      <c r="B4" s="7" t="n">
        <f aca="false">B3*(1-Assumptions!$B$5)</f>
        <v>15960</v>
      </c>
      <c r="C4" s="7" t="n">
        <f aca="false">C3*(1-Assumptions!$B$5)</f>
        <v>18513.6</v>
      </c>
      <c r="D4" s="7" t="n">
        <f aca="false">D3*(1-Assumptions!$B$5)</f>
        <v>21475.776</v>
      </c>
      <c r="E4" s="7" t="n">
        <f aca="false">E3*(1-Assumptions!$B$5)</f>
        <v>24911.90016</v>
      </c>
      <c r="F4" s="7" t="n">
        <f aca="false">F3*(1-Assumptions!$B$5)</f>
        <v>28897.8041856</v>
      </c>
      <c r="G4" s="7" t="n">
        <f aca="false">G3*(1-Assumptions!$B$5)</f>
        <v>33521.452855296</v>
      </c>
      <c r="H4" s="7" t="n">
        <f aca="false">H3*(1-Assumptions!$B$5)</f>
        <v>38884.8853121434</v>
      </c>
      <c r="I4" s="7" t="n">
        <f aca="false">I3*(1-Assumptions!$B$5)</f>
        <v>45106.4669620863</v>
      </c>
    </row>
    <row r="5" customFormat="false" ht="15" hidden="false" customHeight="false" outlineLevel="0" collapsed="false">
      <c r="A5" s="8" t="s">
        <v>25</v>
      </c>
      <c r="B5" s="9" t="n">
        <f aca="false">B3-B4</f>
        <v>26040</v>
      </c>
      <c r="C5" s="9" t="n">
        <f aca="false">C3-C4</f>
        <v>30206.4</v>
      </c>
      <c r="D5" s="9" t="n">
        <f aca="false">D3-D4</f>
        <v>35039.424</v>
      </c>
      <c r="E5" s="9" t="n">
        <f aca="false">E3-E4</f>
        <v>40645.73184</v>
      </c>
      <c r="F5" s="9" t="n">
        <f aca="false">F3-F4</f>
        <v>47149.0489344</v>
      </c>
      <c r="G5" s="9" t="n">
        <f aca="false">G3-G4</f>
        <v>54692.896763904</v>
      </c>
      <c r="H5" s="9" t="n">
        <f aca="false">H3-H4</f>
        <v>63443.7602461286</v>
      </c>
      <c r="I5" s="9" t="n">
        <f aca="false">I3-I4</f>
        <v>73594.7618855092</v>
      </c>
    </row>
    <row r="6" customFormat="false" ht="15" hidden="false" customHeight="false" outlineLevel="0" collapsed="false">
      <c r="A6" s="3" t="s">
        <v>26</v>
      </c>
      <c r="B6" s="7" t="n">
        <f aca="false">B3*Assumptions!$B$6</f>
        <v>5880</v>
      </c>
      <c r="C6" s="7" t="n">
        <f aca="false">C3*Assumptions!$B$6</f>
        <v>6820.8</v>
      </c>
      <c r="D6" s="7" t="n">
        <f aca="false">D3*Assumptions!$B$6</f>
        <v>7912.128</v>
      </c>
      <c r="E6" s="7" t="n">
        <f aca="false">E3*Assumptions!$B$6</f>
        <v>9178.06848</v>
      </c>
      <c r="F6" s="7" t="n">
        <f aca="false">F3*Assumptions!$B$6</f>
        <v>10646.5594368</v>
      </c>
      <c r="G6" s="7" t="n">
        <f aca="false">G3*Assumptions!$B$6</f>
        <v>12350.008946688</v>
      </c>
      <c r="H6" s="7" t="n">
        <f aca="false">H3*Assumptions!$B$6</f>
        <v>14326.0103781581</v>
      </c>
      <c r="I6" s="7" t="n">
        <f aca="false">I3*Assumptions!$B$6</f>
        <v>16618.1720386634</v>
      </c>
    </row>
    <row r="7" customFormat="false" ht="15" hidden="false" customHeight="false" outlineLevel="0" collapsed="false">
      <c r="A7" s="3" t="s">
        <v>27</v>
      </c>
      <c r="B7" s="7" t="n">
        <f aca="false">B3*Assumptions!$B$7</f>
        <v>3780</v>
      </c>
      <c r="C7" s="7" t="n">
        <f aca="false">C3*Assumptions!$B$7</f>
        <v>4384.8</v>
      </c>
      <c r="D7" s="7" t="n">
        <f aca="false">D3*Assumptions!$B$7</f>
        <v>5086.368</v>
      </c>
      <c r="E7" s="7" t="n">
        <f aca="false">E3*Assumptions!$B$7</f>
        <v>5900.18688</v>
      </c>
      <c r="F7" s="7" t="n">
        <f aca="false">F3*Assumptions!$B$7</f>
        <v>6844.2167808</v>
      </c>
      <c r="G7" s="7" t="n">
        <f aca="false">G3*Assumptions!$B$7</f>
        <v>7939.291465728</v>
      </c>
      <c r="H7" s="7" t="n">
        <f aca="false">H3*Assumptions!$B$7</f>
        <v>9209.57810024448</v>
      </c>
      <c r="I7" s="7" t="n">
        <f aca="false">I3*Assumptions!$B$7</f>
        <v>10683.1105962836</v>
      </c>
    </row>
    <row r="8" customFormat="false" ht="15" hidden="false" customHeight="false" outlineLevel="0" collapsed="false">
      <c r="A8" s="3" t="s">
        <v>28</v>
      </c>
      <c r="B8" s="7" t="n">
        <f aca="false">B3*Assumptions!$B$8</f>
        <v>2940</v>
      </c>
      <c r="C8" s="7" t="n">
        <f aca="false">C3*Assumptions!$B$8</f>
        <v>3410.4</v>
      </c>
      <c r="D8" s="7" t="n">
        <f aca="false">D3*Assumptions!$B$8</f>
        <v>3956.064</v>
      </c>
      <c r="E8" s="7" t="n">
        <f aca="false">E3*Assumptions!$B$8</f>
        <v>4589.03424</v>
      </c>
      <c r="F8" s="7" t="n">
        <f aca="false">F3*Assumptions!$B$8</f>
        <v>5323.2797184</v>
      </c>
      <c r="G8" s="7" t="n">
        <f aca="false">G3*Assumptions!$B$8</f>
        <v>6175.004473344</v>
      </c>
      <c r="H8" s="7" t="n">
        <f aca="false">H3*Assumptions!$B$8</f>
        <v>7163.00518907904</v>
      </c>
      <c r="I8" s="7" t="n">
        <f aca="false">I3*Assumptions!$B$8</f>
        <v>8309.08601933168</v>
      </c>
    </row>
    <row r="9" customFormat="false" ht="15" hidden="false" customHeight="false" outlineLevel="0" collapsed="false">
      <c r="A9" s="3" t="s">
        <v>29</v>
      </c>
      <c r="B9" s="7" t="n">
        <f aca="false">B3*Assumptions!$B$9</f>
        <v>2100</v>
      </c>
      <c r="C9" s="7" t="n">
        <f aca="false">C3*Assumptions!$B$9</f>
        <v>2436</v>
      </c>
      <c r="D9" s="7" t="n">
        <f aca="false">D3*Assumptions!$B$9</f>
        <v>2825.76</v>
      </c>
      <c r="E9" s="7" t="n">
        <f aca="false">E3*Assumptions!$B$9</f>
        <v>3277.8816</v>
      </c>
      <c r="F9" s="7" t="n">
        <f aca="false">F3*Assumptions!$B$9</f>
        <v>3802.342656</v>
      </c>
      <c r="G9" s="7" t="n">
        <f aca="false">G3*Assumptions!$B$9</f>
        <v>4410.71748096</v>
      </c>
      <c r="H9" s="7" t="n">
        <f aca="false">H3*Assumptions!$B$9</f>
        <v>5116.4322779136</v>
      </c>
      <c r="I9" s="7" t="n">
        <f aca="false">I3*Assumptions!$B$9</f>
        <v>5935.06144237977</v>
      </c>
    </row>
    <row r="10" customFormat="false" ht="15" hidden="false" customHeight="false" outlineLevel="0" collapsed="false">
      <c r="A10" s="8" t="s">
        <v>30</v>
      </c>
      <c r="B10" s="9" t="n">
        <f aca="false">SUM(B6:B9)</f>
        <v>14700</v>
      </c>
      <c r="C10" s="9" t="n">
        <f aca="false">SUM(C6:C9)</f>
        <v>17052</v>
      </c>
      <c r="D10" s="9" t="n">
        <f aca="false">SUM(D6:D9)</f>
        <v>19780.32</v>
      </c>
      <c r="E10" s="9" t="n">
        <f aca="false">SUM(E6:E9)</f>
        <v>22945.1712</v>
      </c>
      <c r="F10" s="9" t="n">
        <f aca="false">SUM(F6:F9)</f>
        <v>26616.398592</v>
      </c>
      <c r="G10" s="9" t="n">
        <f aca="false">SUM(G6:G9)</f>
        <v>30875.02236672</v>
      </c>
      <c r="H10" s="9" t="n">
        <f aca="false">SUM(H6:H9)</f>
        <v>35815.0259453952</v>
      </c>
      <c r="I10" s="9" t="n">
        <f aca="false">SUM(I6:I9)</f>
        <v>41545.4300966584</v>
      </c>
    </row>
    <row r="11" customFormat="false" ht="15" hidden="false" customHeight="false" outlineLevel="0" collapsed="false">
      <c r="A11" s="8" t="s">
        <v>31</v>
      </c>
      <c r="B11" s="9" t="n">
        <f aca="false">B5-B10</f>
        <v>11340</v>
      </c>
      <c r="C11" s="9" t="n">
        <f aca="false">C5-C10</f>
        <v>13154.4</v>
      </c>
      <c r="D11" s="9" t="n">
        <f aca="false">D5-D10</f>
        <v>15259.104</v>
      </c>
      <c r="E11" s="9" t="n">
        <f aca="false">E5-E10</f>
        <v>17700.56064</v>
      </c>
      <c r="F11" s="9" t="n">
        <f aca="false">F5-F10</f>
        <v>20532.6503424</v>
      </c>
      <c r="G11" s="9" t="n">
        <f aca="false">G5-G10</f>
        <v>23817.874397184</v>
      </c>
      <c r="H11" s="9" t="n">
        <f aca="false">H5-H10</f>
        <v>27628.7343007334</v>
      </c>
      <c r="I11" s="9" t="n">
        <f aca="false">I5-I10</f>
        <v>32049.3317888508</v>
      </c>
    </row>
    <row r="12" customFormat="false" ht="15" hidden="false" customHeight="false" outlineLevel="0" collapsed="false">
      <c r="A12" s="3" t="s">
        <v>32</v>
      </c>
      <c r="B12" s="7" t="n">
        <f aca="false">B3*Assumptions!$B$10</f>
        <v>1680</v>
      </c>
      <c r="C12" s="7" t="n">
        <f aca="false">C3*Assumptions!$B$10</f>
        <v>1948.8</v>
      </c>
      <c r="D12" s="7" t="n">
        <f aca="false">D3*Assumptions!$B$10</f>
        <v>2260.608</v>
      </c>
      <c r="E12" s="7" t="n">
        <f aca="false">E3*Assumptions!$B$10</f>
        <v>2622.30528</v>
      </c>
      <c r="F12" s="7" t="n">
        <f aca="false">F3*Assumptions!$B$10</f>
        <v>3041.8741248</v>
      </c>
      <c r="G12" s="7" t="n">
        <f aca="false">G3*Assumptions!$B$10</f>
        <v>3528.573984768</v>
      </c>
      <c r="H12" s="7" t="n">
        <f aca="false">H3*Assumptions!$B$10</f>
        <v>4093.14582233088</v>
      </c>
      <c r="I12" s="7" t="n">
        <f aca="false">I3*Assumptions!$B$10</f>
        <v>4748.04915390382</v>
      </c>
    </row>
    <row r="13" customFormat="false" ht="15" hidden="false" customHeight="false" outlineLevel="0" collapsed="false">
      <c r="A13" s="8" t="s">
        <v>33</v>
      </c>
      <c r="B13" s="9" t="n">
        <f aca="false">B11-B12</f>
        <v>9660</v>
      </c>
      <c r="C13" s="9" t="n">
        <f aca="false">C11-C12</f>
        <v>11205.6</v>
      </c>
      <c r="D13" s="9" t="n">
        <f aca="false">D11-D12</f>
        <v>12998.496</v>
      </c>
      <c r="E13" s="9" t="n">
        <f aca="false">E11-E12</f>
        <v>15078.25536</v>
      </c>
      <c r="F13" s="9" t="n">
        <f aca="false">F11-F12</f>
        <v>17490.7762176</v>
      </c>
      <c r="G13" s="9" t="n">
        <f aca="false">G11-G12</f>
        <v>20289.300412416</v>
      </c>
      <c r="H13" s="9" t="n">
        <f aca="false">H11-H12</f>
        <v>23535.5884784025</v>
      </c>
      <c r="I13" s="9" t="n">
        <f aca="false">I11-I12</f>
        <v>27301.2826349469</v>
      </c>
    </row>
    <row r="14" customFormat="false" ht="15" hidden="false" customHeight="false" outlineLevel="0" collapsed="false">
      <c r="A14" s="3" t="s">
        <v>34</v>
      </c>
      <c r="B14" s="7" t="n">
        <f aca="false">Assumptions!$B$12*Assumptions!$B$11</f>
        <v>1200</v>
      </c>
      <c r="C14" s="7" t="n">
        <f aca="false">Assumptions!$B$12*Assumptions!$B$11</f>
        <v>1200</v>
      </c>
      <c r="D14" s="7" t="n">
        <f aca="false">Assumptions!$B$12*Assumptions!$B$11</f>
        <v>1200</v>
      </c>
      <c r="E14" s="7" t="n">
        <f aca="false">Assumptions!$B$12*Assumptions!$B$11</f>
        <v>1200</v>
      </c>
      <c r="F14" s="7" t="n">
        <f aca="false">Assumptions!$B$12*Assumptions!$B$11</f>
        <v>1200</v>
      </c>
      <c r="G14" s="7" t="n">
        <f aca="false">Assumptions!$B$12*Assumptions!$B$11</f>
        <v>1200</v>
      </c>
      <c r="H14" s="7" t="n">
        <f aca="false">Assumptions!$B$12*Assumptions!$B$11</f>
        <v>1200</v>
      </c>
      <c r="I14" s="7" t="n">
        <f aca="false">Assumptions!$B$12*Assumptions!$B$11</f>
        <v>1200</v>
      </c>
    </row>
    <row r="15" customFormat="false" ht="15" hidden="false" customHeight="false" outlineLevel="0" collapsed="false">
      <c r="A15" s="8" t="s">
        <v>35</v>
      </c>
      <c r="B15" s="9" t="n">
        <f aca="false">B13-B14</f>
        <v>8460</v>
      </c>
      <c r="C15" s="9" t="n">
        <f aca="false">C13-C14</f>
        <v>10005.6</v>
      </c>
      <c r="D15" s="9" t="n">
        <f aca="false">D13-D14</f>
        <v>11798.496</v>
      </c>
      <c r="E15" s="9" t="n">
        <f aca="false">E13-E14</f>
        <v>13878.25536</v>
      </c>
      <c r="F15" s="9" t="n">
        <f aca="false">F13-F14</f>
        <v>16290.7762176</v>
      </c>
      <c r="G15" s="9" t="n">
        <f aca="false">G13-G14</f>
        <v>19089.300412416</v>
      </c>
      <c r="H15" s="9" t="n">
        <f aca="false">H13-H14</f>
        <v>22335.5884784025</v>
      </c>
      <c r="I15" s="9" t="n">
        <f aca="false">I13-I14</f>
        <v>26101.2826349469</v>
      </c>
    </row>
    <row r="16" customFormat="false" ht="15" hidden="false" customHeight="false" outlineLevel="0" collapsed="false">
      <c r="A16" s="3" t="s">
        <v>36</v>
      </c>
      <c r="B16" s="7" t="n">
        <f aca="false">B15*Assumptions!$B$13</f>
        <v>2030.4</v>
      </c>
      <c r="C16" s="7" t="n">
        <f aca="false">C15*Assumptions!$B$13</f>
        <v>2401.344</v>
      </c>
      <c r="D16" s="7" t="n">
        <f aca="false">D15*Assumptions!$B$13</f>
        <v>2831.63904</v>
      </c>
      <c r="E16" s="7" t="n">
        <f aca="false">E15*Assumptions!$B$13</f>
        <v>3330.7812864</v>
      </c>
      <c r="F16" s="7" t="n">
        <f aca="false">F15*Assumptions!$B$13</f>
        <v>3909.786292224</v>
      </c>
      <c r="G16" s="7" t="n">
        <f aca="false">G15*Assumptions!$B$13</f>
        <v>4581.43209897984</v>
      </c>
      <c r="H16" s="7" t="n">
        <f aca="false">H15*Assumptions!$B$13</f>
        <v>5360.54123481661</v>
      </c>
      <c r="I16" s="7" t="n">
        <f aca="false">I15*Assumptions!$B$13</f>
        <v>6264.30783238727</v>
      </c>
    </row>
    <row r="17" customFormat="false" ht="15" hidden="false" customHeight="false" outlineLevel="0" collapsed="false">
      <c r="A17" s="8" t="s">
        <v>37</v>
      </c>
      <c r="B17" s="9" t="n">
        <f aca="false">B15-B16</f>
        <v>6429.6</v>
      </c>
      <c r="C17" s="9" t="n">
        <f aca="false">C15-C16</f>
        <v>7604.256</v>
      </c>
      <c r="D17" s="9" t="n">
        <f aca="false">D15-D16</f>
        <v>8966.85696</v>
      </c>
      <c r="E17" s="9" t="n">
        <f aca="false">E15-E16</f>
        <v>10547.4740736</v>
      </c>
      <c r="F17" s="9" t="n">
        <f aca="false">F15-F16</f>
        <v>12380.989925376</v>
      </c>
      <c r="G17" s="9" t="n">
        <f aca="false">G15-G16</f>
        <v>14507.8683134362</v>
      </c>
      <c r="H17" s="9" t="n">
        <f aca="false">H15-H16</f>
        <v>16975.0472435859</v>
      </c>
      <c r="I17" s="9" t="n">
        <f aca="false">I15-I16</f>
        <v>19836.9748025597</v>
      </c>
    </row>
    <row r="18" customFormat="false" ht="15" hidden="false" customHeight="false" outlineLevel="0" collapsed="false">
      <c r="A18" s="3" t="s">
        <v>4</v>
      </c>
      <c r="B18" s="10" t="n">
        <f aca="false">B5/B3</f>
        <v>0.62</v>
      </c>
      <c r="C18" s="10" t="n">
        <f aca="false">C5/C3</f>
        <v>0.62</v>
      </c>
      <c r="D18" s="10" t="n">
        <f aca="false">D5/D3</f>
        <v>0.62</v>
      </c>
      <c r="E18" s="10" t="n">
        <f aca="false">E5/E3</f>
        <v>0.62</v>
      </c>
      <c r="F18" s="10" t="n">
        <f aca="false">F5/F3</f>
        <v>0.62</v>
      </c>
      <c r="G18" s="10" t="n">
        <f aca="false">G5/G3</f>
        <v>0.62</v>
      </c>
      <c r="H18" s="10" t="n">
        <f aca="false">H5/H3</f>
        <v>0.62</v>
      </c>
      <c r="I18" s="10" t="n">
        <f aca="false">I5/I3</f>
        <v>0.62</v>
      </c>
    </row>
    <row r="19" customFormat="false" ht="15" hidden="false" customHeight="false" outlineLevel="0" collapsed="false">
      <c r="A19" s="3" t="s">
        <v>38</v>
      </c>
      <c r="B19" s="10" t="n">
        <f aca="false">B11/B3</f>
        <v>0.27</v>
      </c>
      <c r="C19" s="10" t="n">
        <f aca="false">C11/C3</f>
        <v>0.27</v>
      </c>
      <c r="D19" s="10" t="n">
        <f aca="false">D11/D3</f>
        <v>0.27</v>
      </c>
      <c r="E19" s="10" t="n">
        <f aca="false">E11/E3</f>
        <v>0.27</v>
      </c>
      <c r="F19" s="10" t="n">
        <f aca="false">F11/F3</f>
        <v>0.27</v>
      </c>
      <c r="G19" s="10" t="n">
        <f aca="false">G11/G3</f>
        <v>0.27</v>
      </c>
      <c r="H19" s="10" t="n">
        <f aca="false">H11/H3</f>
        <v>0.27</v>
      </c>
      <c r="I19" s="10" t="n">
        <f aca="false">I11/I3</f>
        <v>0.27</v>
      </c>
    </row>
    <row r="20" customFormat="false" ht="15" hidden="false" customHeight="false" outlineLevel="0" collapsed="false">
      <c r="A20" s="3" t="s">
        <v>39</v>
      </c>
      <c r="B20" s="10" t="n">
        <f aca="false">B17/B3</f>
        <v>0.153085714285714</v>
      </c>
      <c r="C20" s="10" t="n">
        <f aca="false">C17/C3</f>
        <v>0.15608078817734</v>
      </c>
      <c r="D20" s="10" t="n">
        <f aca="false">D17/D3</f>
        <v>0.158662748428741</v>
      </c>
      <c r="E20" s="10" t="n">
        <f aca="false">E17/E3</f>
        <v>0.160888576231673</v>
      </c>
      <c r="F20" s="10" t="n">
        <f aca="false">F17/F3</f>
        <v>0.162807393303167</v>
      </c>
      <c r="G20" s="10" t="n">
        <f aca="false">G17/G3</f>
        <v>0.164461545951006</v>
      </c>
      <c r="H20" s="10" t="n">
        <f aca="false">H17/H3</f>
        <v>0.165887539612936</v>
      </c>
      <c r="I20" s="10" t="n">
        <f aca="false">I17/I3</f>
        <v>0.16711684449391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2026-07-25T19:51:37Z</dcterms:created>
  <dc:creator>openpyxl</dc:creator>
  <dc:description/>
  <dc:language>en-US</dc:language>
  <cp:lastModifiedBy/>
  <dcterms:modified xsi:type="dcterms:W3CDTF">2026-07-25T19:51:37Z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