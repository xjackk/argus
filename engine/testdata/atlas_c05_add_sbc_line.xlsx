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" sheetId="2" state="visible" r:id="rId4"/>
    <sheet name="Debt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<sst xmlns="http://schemas.openxmlformats.org/spreadsheetml/2006/main" count="54" uniqueCount="47">
  <si>
    <t xml:space="preserve">Project Atlas — LBO Assumptions</t>
  </si>
  <si>
    <t xml:space="preserve">Transaction</t>
  </si>
  <si>
    <t xml:space="preserve">Entry EV / EBITDA</t>
  </si>
  <si>
    <t xml:space="preserve">Exit EV / EBITDA</t>
  </si>
  <si>
    <t xml:space="preserve">Entry Net Debt / EBITDA</t>
  </si>
  <si>
    <t xml:space="preserve">Hold Period (years)</t>
  </si>
  <si>
    <t xml:space="preserve">Operating</t>
  </si>
  <si>
    <t xml:space="preserve">Entry Revenue ($mm)</t>
  </si>
  <si>
    <t xml:space="preserve">Revenue Growth (% p.a.)</t>
  </si>
  <si>
    <t xml:space="preserve">Entry EBITDA Margin (%)</t>
  </si>
  <si>
    <t xml:space="preserve">Exit EBITDA Margin (%)</t>
  </si>
  <si>
    <t xml:space="preserve">Financing</t>
  </si>
  <si>
    <t xml:space="preserve">Interest Rate on Debt (%)</t>
  </si>
  <si>
    <t xml:space="preserve">Mandatory Debt Paydown (% p.a.)</t>
  </si>
  <si>
    <t xml:space="preserve">Tax Rate (%)</t>
  </si>
  <si>
    <t xml:space="preserve">P&amp;L Projection ($mm)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</si>
  <si>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</si>
  <si>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</si>
  <si>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</si>
  <si>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</si>
  <si>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</si>
  <si>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</si>
  <si>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</si>
  <si>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Revenue</t>
  </si>
  <si>
    <t xml:space="preserve">EBITDA Margin</t>
  </si>
  <si>
    <t xml:space="preserve">EBITDA</t>
  </si>
  <si>
    <t xml:space="preserve">Less: Stock-Based Comp</t>
  </si>
  <si>
    <t xml:space="preserve">Less: D&amp;A (4% rev)</t>
  </si>
  <si>
    <t xml:space="preserve">EBIT</t>
  </si>
  <si>
    <t xml:space="preserve">Less: Interest</t>
  </si>
  <si>
    <t xml:space="preserve">EBT</t>
  </si>
  <si>
    <t xml:space="preserve">Less: Tax</t>
  </si>
  <si>
    <t xml:space="preserve">Net Income</t>
  </si>
  <si>
    <t xml:space="preserve">Debt Schedule ($mm)</t>
  </si>
  <si>
    <t xml:space="preserve">Opening Debt</t>
  </si>
  <si>
    <t xml:space="preserve">Closing Debt</t>
  </si>
  <si>
    <t xml:space="preserve">Returns Summary</t>
  </si>
  <si>
    <t xml:space="preserve">Entry EBITDA</t>
  </si>
  <si>
    <t xml:space="preserve">Entry EV</t>
  </si>
  <si>
    <t xml:space="preserve">Entry Net Debt</t>
  </si>
  <si>
    <t xml:space="preserve">Entry Equity</t>
  </si>
  <si>
    <t xml:space="preserve">Exit EBITDA</t>
  </si>
  <si>
    <t xml:space="preserve">Exit EV</t>
  </si>
  <si>
    <t xml:space="preserve">Exit Net Debt</t>
  </si>
  <si>
    <t xml:space="preserve">Exit Equity</t>
  </si>
  <si>
    <t xml:space="preserve">MOIC</t>
  </si>
  <si>
    <t xml:space="preserve">IRR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</si>
</sst>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\x"/>
    <numFmt numFmtId="166" formatCode="0"/>
    <numFmt numFmtId="167" formatCode="\$#,##0"/>
    <numFmt numFmtId="168" formatCode="0.0%"/>
    <numFmt numFmtId="169" formatCode="\$#,##0;&quot;($&quot;#,##0\);\-"/>
    <numFmt numFmtId="170" formatCode="\$#,##0;&quot;($&quot;#,##0\);\-"/>
    <numFmt numFmtId="171" formatCode="0.0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E8"/>
        <bgColor rgb="FFC9D1DA"/>
      </patternFill>
    </fill>
    <fill>
      <patternFill patternType="solid">
        <fgColor rgb="FFFFF4D6"/>
        <bgColor rgb="FFFFFFFF"/>
      </patternFill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9E1E8"/>
      <rgbColor rgb="FF660066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3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</row>
    <row r="4" customFormat="false" ht="15" hidden="false" customHeight="true" outlineLevel="0" collapsed="false">
      <c r="A4" s="1" t="s">
        <v>2</v>
      </c>
      <c r="B4" s="5" t="n">
        <v>9</v>
      </c>
    </row>
    <row r="5" customFormat="false" ht="15" hidden="false" customHeight="true" outlineLevel="0" collapsed="false">
      <c r="A5" s="1" t="s">
        <v>3</v>
      </c>
      <c r="B5" s="5" t="n">
        <v>10.5</v>
      </c>
    </row>
    <row r="6" customFormat="false" ht="15" hidden="false" customHeight="true" outlineLevel="0" collapsed="false">
      <c r="A6" s="1" t="s">
        <v>4</v>
      </c>
      <c r="B6" s="5" t="n">
        <v>4.5</v>
      </c>
    </row>
    <row r="7" customFormat="false" ht="15" hidden="false" customHeight="true" outlineLevel="0" collapsed="false">
      <c r="A7" s="1" t="s">
        <v>5</v>
      </c>
      <c r="B7" s="6" t="n">
        <v>5</v>
      </c>
    </row>
    <row r="9" customFormat="false" ht="15" hidden="false" customHeight="true" outlineLevel="0" collapsed="false">
      <c r="A9" s="3" t="s">
        <v>6</v>
      </c>
      <c r="B9" s="4"/>
      <c r="C9" s="4"/>
      <c r="D9" s="4"/>
      <c r="E9" s="4"/>
    </row>
    <row r="10" customFormat="false" ht="15" hidden="false" customHeight="true" outlineLevel="0" collapsed="false">
      <c r="A10" s="1" t="s">
        <v>7</v>
      </c>
      <c r="B10" s="7" t="n">
        <v>500</v>
      </c>
    </row>
    <row r="11" customFormat="false" ht="15" hidden="false" customHeight="true" outlineLevel="0" collapsed="false">
      <c r="A11" s="1" t="s">
        <v>8</v>
      </c>
      <c r="B11" s="8" t="n">
        <v>0.095</v>
      </c>
    </row>
    <row r="12" customFormat="false" ht="15" hidden="false" customHeight="true" outlineLevel="0" collapsed="false">
      <c r="A12" s="1" t="s">
        <v>9</v>
      </c>
      <c r="B12" s="8" t="n">
        <v>0.22</v>
      </c>
    </row>
    <row r="13" customFormat="false" ht="15" hidden="false" customHeight="true" outlineLevel="0" collapsed="false">
      <c r="A13" s="1" t="s">
        <v>10</v>
      </c>
      <c r="B13" s="8" t="n">
        <v>0.235</v>
      </c>
    </row>
    <row r="15" customFormat="false" ht="15" hidden="false" customHeight="true" outlineLevel="0" collapsed="false">
      <c r="A15" s="3" t="s">
        <v>11</v>
      </c>
      <c r="B15" s="4"/>
      <c r="C15" s="4"/>
      <c r="D15" s="4"/>
      <c r="E15" s="4"/>
    </row>
    <row r="16" customFormat="false" ht="15" hidden="false" customHeight="true" outlineLevel="0" collapsed="false">
      <c r="A16" s="1" t="s">
        <v>12</v>
      </c>
      <c r="B16" s="8" t="n">
        <v>0.0825</v>
      </c>
    </row>
    <row r="17" customFormat="false" ht="15" hidden="false" customHeight="true" outlineLevel="0" collapsed="false">
      <c r="A17" s="1" t="s">
        <v>13</v>
      </c>
      <c r="B17" s="8" t="n">
        <v>0.125</v>
      </c>
    </row>
    <row r="18" customFormat="false" ht="15" hidden="false" customHeight="true" outlineLevel="0" collapsed="false">
      <c r="A18" s="1" t="s">
        <v>14</v>
      </c>
      <c r="B18" s="8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15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" t="s">
        <v>23</v>
      </c>
      <c r="B4" s="11" t="n">
        <f aca="false">Assumptions!B10</f>
        <v>500</v>
      </c>
      <c r="C4" s="12" t="n">
        <f aca="false">B4*(1+Assumptions!$B$11)</f>
        <v>547.5</v>
      </c>
      <c r="D4" s="12" t="n">
        <f aca="false">C4*(1+Assumptions!$B$11)</f>
        <v>599.5125</v>
      </c>
      <c r="E4" s="12" t="n">
        <f aca="false">D4*(1+Assumptions!$B$11)</f>
        <v>656.4661875</v>
      </c>
      <c r="F4" s="12" t="n">
        <f aca="false">E4*(1+Assumptions!$B$11)</f>
        <v>718.8304753125</v>
      </c>
      <c r="G4" s="12" t="n">
        <f aca="false">F4*(1+Assumptions!$B$11)</f>
        <v>787.119370467187</v>
      </c>
    </row>
    <row r="5" customFormat="false" ht="15" hidden="false" customHeight="true" outlineLevel="0" collapsed="false">
      <c r="A5" s="1" t="s">
        <v>24</v>
      </c>
      <c r="B5" s="13" t="n">
        <f aca="false">Assumptions!$B$12+(Assumptions!$B$13-Assumptions!$B$12)*0/Assumptions!$B$7</f>
        <v>0.22</v>
      </c>
      <c r="C5" s="13" t="n">
        <f aca="false">Assumptions!$B$12+(Assumptions!$B$13-Assumptions!$B$12)*1/Assumptions!$B$7</f>
        <v>0.223</v>
      </c>
      <c r="D5" s="13" t="n">
        <f aca="false">Assumptions!$B$12+(Assumptions!$B$13-Assumptions!$B$12)*2/Assumptions!$B$7</f>
        <v>0.226</v>
      </c>
      <c r="E5" s="13" t="n">
        <f aca="false">Assumptions!$B$12+(Assumptions!$B$13-Assumptions!$B$12)*3/Assumptions!$B$7</f>
        <v>0.229</v>
      </c>
      <c r="F5" s="13" t="n">
        <f aca="false">Assumptions!$B$12+(Assumptions!$B$13-Assumptions!$B$12)*4/Assumptions!$B$7</f>
        <v>0.232</v>
      </c>
      <c r="G5" s="13" t="n">
        <f aca="false">Assumptions!$B$12+(Assumptions!$B$13-Assumptions!$B$12)*5/Assumptions!$B$7</f>
        <v>0.235</v>
      </c>
    </row>
    <row r="6" customFormat="false" ht="15" hidden="false" customHeight="true" outlineLevel="0" collapsed="false">
      <c r="A6" s="9" t="s">
        <v>25</v>
      </c>
      <c r="B6" s="14" t="n">
        <f aca="false">B4*B5</f>
        <v>110</v>
      </c>
      <c r="C6" s="14" t="n">
        <f aca="false">C4*C5</f>
        <v>122.0925</v>
      </c>
      <c r="D6" s="14" t="n">
        <f aca="false">D4*D5</f>
        <v>135.489825</v>
      </c>
      <c r="E6" s="14" t="n">
        <f aca="false">E4*E5</f>
        <v>150.3307569375</v>
      </c>
      <c r="F6" s="14" t="n">
        <f aca="false">F4*F5</f>
        <v>166.7686702725</v>
      </c>
      <c r="G6" s="14" t="n">
        <f aca="false">G4*G5</f>
        <v>184.973052059789</v>
      </c>
    </row>
    <row r="7" customFormat="false" ht="15" hidden="false" customHeight="true" outlineLevel="0" collapsed="false">
      <c r="A7" s="1" t="s">
        <v>26</v>
      </c>
      <c r="B7" s="15" t="n">
        <f aca="false">-B4*0.015</f>
        <v>-7.5</v>
      </c>
      <c r="C7" s="15" t="n">
        <f aca="false">-C4*0.015</f>
        <v>-8.2125</v>
      </c>
      <c r="D7" s="15" t="n">
        <f aca="false">-D4*0.015</f>
        <v>-8.9926875</v>
      </c>
      <c r="E7" s="15" t="n">
        <f aca="false">-E4*0.015</f>
        <v>-9.8469928125</v>
      </c>
      <c r="F7" s="15" t="n">
        <f aca="false">-F4*0.015</f>
        <v>-10.7824571296875</v>
      </c>
      <c r="G7" s="15" t="n">
        <f aca="false">-G4*0.015</f>
        <v>-11.8067905570078</v>
      </c>
    </row>
    <row r="8" customFormat="false" ht="15" hidden="false" customHeight="true" outlineLevel="0" collapsed="false">
      <c r="A8" s="1" t="s">
        <v>27</v>
      </c>
      <c r="B8" s="12" t="n">
        <f aca="false">-B4*0.04</f>
        <v>-20</v>
      </c>
      <c r="C8" s="12" t="n">
        <f aca="false">-C4*0.04</f>
        <v>-21.9</v>
      </c>
      <c r="D8" s="12" t="n">
        <f aca="false">-D4*0.04</f>
        <v>-23.9805</v>
      </c>
      <c r="E8" s="12" t="n">
        <f aca="false">-E4*0.04</f>
        <v>-26.2586475</v>
      </c>
      <c r="F8" s="12" t="n">
        <f aca="false">-F4*0.04</f>
        <v>-28.7532190125</v>
      </c>
      <c r="G8" s="12" t="n">
        <f aca="false">-G4*0.04</f>
        <v>-31.4847748186875</v>
      </c>
    </row>
    <row r="9" customFormat="false" ht="15" hidden="false" customHeight="true" outlineLevel="0" collapsed="false">
      <c r="A9" s="1" t="s">
        <v>28</v>
      </c>
      <c r="B9" s="12" t="n">
        <f aca="false">B6+B7</f>
        <v>102.5</v>
      </c>
      <c r="C9" s="12" t="n">
        <f aca="false">C6+C7</f>
        <v>113.88</v>
      </c>
      <c r="D9" s="12" t="n">
        <f aca="false">D6+D7</f>
        <v>126.4971375</v>
      </c>
      <c r="E9" s="12" t="n">
        <f aca="false">E6+E7</f>
        <v>140.483764125</v>
      </c>
      <c r="F9" s="12" t="n">
        <f aca="false">F6+F7</f>
        <v>155.986213142812</v>
      </c>
      <c r="G9" s="12" t="n">
        <f aca="false">G6+G7</f>
        <v>173.166261502781</v>
      </c>
    </row>
    <row r="10" customFormat="false" ht="15" hidden="false" customHeight="true" outlineLevel="0" collapsed="false">
      <c r="A10" s="16" t="s">
        <v>29</v>
      </c>
      <c r="B10" s="17" t="n">
        <v>0</v>
      </c>
      <c r="C10" s="11" t="n">
        <f aca="false">-Debt!C4*Assumptions!$B$16</f>
        <v>-35.7328125</v>
      </c>
      <c r="D10" s="11" t="n">
        <f aca="false">-Debt!D4*Assumptions!$B$16</f>
        <v>-31.2662109375</v>
      </c>
      <c r="E10" s="11" t="n">
        <f aca="false">-Debt!E4*Assumptions!$B$16</f>
        <v>-27.3579345703125</v>
      </c>
      <c r="F10" s="11" t="n">
        <f aca="false">-Debt!F4*Assumptions!$B$16</f>
        <v>-23.9381927490234</v>
      </c>
      <c r="G10" s="11" t="n">
        <f aca="false">-Debt!G4*Assumptions!$B$16</f>
        <v>-20.9459186553955</v>
      </c>
    </row>
    <row r="11" customFormat="false" ht="15" hidden="false" customHeight="true" outlineLevel="0" collapsed="false">
      <c r="A11" s="1" t="s">
        <v>30</v>
      </c>
      <c r="B11" s="12" t="n">
        <f aca="false">B8+B9</f>
        <v>82.5</v>
      </c>
      <c r="C11" s="12" t="n">
        <f aca="false">C8+C9</f>
        <v>91.98</v>
      </c>
      <c r="D11" s="12" t="n">
        <f aca="false">D8+D9</f>
        <v>102.5166375</v>
      </c>
      <c r="E11" s="12" t="n">
        <f aca="false">E8+E9</f>
        <v>114.225116625</v>
      </c>
      <c r="F11" s="12" t="n">
        <f aca="false">F8+F9</f>
        <v>127.232994130312</v>
      </c>
      <c r="G11" s="12" t="n">
        <f aca="false">G8+G9</f>
        <v>141.681486684094</v>
      </c>
    </row>
    <row r="12" customFormat="false" ht="15" hidden="false" customHeight="true" outlineLevel="0" collapsed="false">
      <c r="A12" s="1" t="s">
        <v>31</v>
      </c>
      <c r="B12" s="12" t="n">
        <f aca="false">-MAX(B10,0)*Assumptions!$B$18</f>
        <v>-0</v>
      </c>
      <c r="C12" s="12" t="n">
        <f aca="false">-MAX(C10,0)*Assumptions!$B$18</f>
        <v>-0</v>
      </c>
      <c r="D12" s="12" t="n">
        <f aca="false">-MAX(D10,0)*Assumptions!$B$18</f>
        <v>-0</v>
      </c>
      <c r="E12" s="12" t="n">
        <f aca="false">-MAX(E10,0)*Assumptions!$B$18</f>
        <v>-0</v>
      </c>
      <c r="F12" s="12" t="n">
        <f aca="false">-MAX(F10,0)*Assumptions!$B$18</f>
        <v>-0</v>
      </c>
      <c r="G12" s="12" t="n">
        <f aca="false">-MAX(G10,0)*Assumptions!$B$18</f>
        <v>-0</v>
      </c>
    </row>
    <row r="13" customFormat="false" ht="15" hidden="false" customHeight="false" outlineLevel="0" collapsed="false">
      <c r="A13" s="9" t="s">
        <v>32</v>
      </c>
      <c r="B13" s="14" t="n">
        <f aca="false">B10+B11</f>
        <v>82.5</v>
      </c>
      <c r="C13" s="14" t="n">
        <f aca="false">C10+C11</f>
        <v>56.2471875</v>
      </c>
      <c r="D13" s="14" t="n">
        <f aca="false">D10+D11</f>
        <v>71.2504265625</v>
      </c>
      <c r="E13" s="14" t="n">
        <f aca="false">E10+E11</f>
        <v>86.8671820546875</v>
      </c>
      <c r="F13" s="14" t="n">
        <f aca="false">F10+F11</f>
        <v>103.294801381289</v>
      </c>
      <c r="G13" s="14" t="n">
        <f aca="false">G10+G11</f>
        <v>120.735568028698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" t="s">
        <v>33</v>
      </c>
    </row>
    <row r="3" customFormat="false" ht="15" hidden="false" customHeight="true" outlineLevel="0" collapsed="false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G3" s="10" t="s">
        <v>22</v>
      </c>
    </row>
    <row r="4" customFormat="false" ht="15" hidden="false" customHeight="true" outlineLevel="0" collapsed="false">
      <c r="A4" s="16" t="s">
        <v>34</v>
      </c>
      <c r="B4" s="11" t="n">
        <f aca="false">Assumptions!B6*'P&amp;L'!B6</f>
        <v>495</v>
      </c>
      <c r="C4" s="12" t="n">
        <f aca="false">B5</f>
        <v>433.125</v>
      </c>
      <c r="D4" s="12" t="n">
        <f aca="false">C5</f>
        <v>378.984375</v>
      </c>
      <c r="E4" s="12" t="n">
        <f aca="false">D5</f>
        <v>331.611328125</v>
      </c>
      <c r="F4" s="12" t="n">
        <f aca="false">E5</f>
        <v>290.159912109375</v>
      </c>
      <c r="G4" s="12" t="n">
        <f aca="false">F5</f>
        <v>253.889923095703</v>
      </c>
    </row>
    <row r="5" customFormat="false" ht="15" hidden="false" customHeight="true" outlineLevel="0" collapsed="false">
      <c r="A5" s="9" t="s">
        <v>35</v>
      </c>
      <c r="B5" s="14" t="n">
        <f aca="false">B4*(1-Assumptions!$B$17)</f>
        <v>433.125</v>
      </c>
      <c r="C5" s="14" t="n">
        <f aca="false">C4*(1-Assumptions!$B$17)</f>
        <v>378.984375</v>
      </c>
      <c r="D5" s="14" t="n">
        <f aca="false">D4*(1-Assumptions!$B$17)</f>
        <v>331.611328125</v>
      </c>
      <c r="E5" s="14" t="n">
        <f aca="false">E4*(1-Assumptions!$B$17)</f>
        <v>290.159912109375</v>
      </c>
      <c r="F5" s="14" t="n">
        <f aca="false">F4*(1-Assumptions!$B$17)</f>
        <v>253.889923095703</v>
      </c>
      <c r="G5" s="14" t="n">
        <f aca="false">G4*(1-Assumptions!$B$17)</f>
        <v>222.15368270874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36</v>
      </c>
    </row>
    <row r="3" customFormat="false" ht="15" hidden="false" customHeight="true" outlineLevel="0" collapsed="false">
      <c r="A3" s="18" t="s">
        <v>37</v>
      </c>
      <c r="B3" s="19" t="n">
        <f aca="false">'P&amp;L'!B6</f>
        <v>110</v>
      </c>
    </row>
    <row r="4" customFormat="false" ht="15" hidden="false" customHeight="true" outlineLevel="0" collapsed="false">
      <c r="A4" s="18" t="s">
        <v>38</v>
      </c>
      <c r="B4" s="19" t="n">
        <f aca="false">Assumptions!B4*B3</f>
        <v>990</v>
      </c>
    </row>
    <row r="5" customFormat="false" ht="15" hidden="false" customHeight="true" outlineLevel="0" collapsed="false">
      <c r="A5" s="18" t="s">
        <v>39</v>
      </c>
      <c r="B5" s="19" t="n">
        <f aca="false">Debt!B4</f>
        <v>495</v>
      </c>
    </row>
    <row r="6" customFormat="false" ht="15" hidden="false" customHeight="true" outlineLevel="0" collapsed="false">
      <c r="A6" s="18" t="s">
        <v>40</v>
      </c>
      <c r="B6" s="20" t="n">
        <f aca="false">B4-B5</f>
        <v>495</v>
      </c>
    </row>
    <row r="8" customFormat="false" ht="15" hidden="false" customHeight="true" outlineLevel="0" collapsed="false">
      <c r="A8" s="18" t="s">
        <v>41</v>
      </c>
      <c r="B8" s="19" t="n">
        <f aca="false">'P&amp;L'!G6</f>
        <v>184.973052059789</v>
      </c>
    </row>
    <row r="9" customFormat="false" ht="15" hidden="false" customHeight="true" outlineLevel="0" collapsed="false">
      <c r="A9" s="18" t="s">
        <v>42</v>
      </c>
      <c r="B9" s="19" t="n">
        <f aca="false">Assumptions!B5*B8</f>
        <v>1942.21704662778</v>
      </c>
    </row>
    <row r="10" customFormat="false" ht="15" hidden="false" customHeight="true" outlineLevel="0" collapsed="false">
      <c r="A10" s="18" t="s">
        <v>43</v>
      </c>
      <c r="B10" s="19" t="n">
        <f aca="false">Debt!G5</f>
        <v>222.15368270874</v>
      </c>
    </row>
    <row r="11" customFormat="false" ht="15" hidden="false" customHeight="true" outlineLevel="0" collapsed="false">
      <c r="A11" s="18" t="s">
        <v>44</v>
      </c>
      <c r="B11" s="20" t="n">
        <f aca="false">B9-B10</f>
        <v>1720.06336391904</v>
      </c>
    </row>
    <row r="13" customFormat="false" ht="15" hidden="false" customHeight="true" outlineLevel="0" collapsed="false">
      <c r="A13" s="21" t="s">
        <v>45</v>
      </c>
      <c r="B13" s="22" t="n">
        <f aca="false">B11/B6</f>
        <v>3.47487548266474</v>
      </c>
    </row>
    <row r="14" customFormat="false" ht="15" hidden="false" customHeight="true" outlineLevel="0" collapsed="false">
      <c r="A14" s="21" t="s">
        <v>46</v>
      </c>
      <c r="B14" s="23" t="n">
        <f aca="false">(B11/B6)^(1/Assumptions!B7)-1</f>
        <v>0.282885360830104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2026-07-06T19:53:22Z</dcterms:created>
  <dc:creator>openpyxl</dc:creator>
  <dc:description/>
  <dc:language>en-US</dc:language>
  <cp:lastModifiedBy/>
  <dcterms:modified xsi:type="dcterms:W3CDTF">2026-07-19T09:21:51Z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