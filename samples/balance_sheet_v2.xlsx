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lance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<sst xmlns="http://schemas.openxmlformats.org/spreadsheetml/2006/main" count="16" uniqueCount="16">
  <si>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Balance Sheet ($000s)</t>
  </si>
  <si>
    <t xml:space="preserve">FY2023</t>
  </si>
  <si>
    <t xml:space="preserve">FY2024</t>
  </si>
  <si>
    <t xml:space="preserve">ASSETS</t>
  </si>
  <si>
    <t xml:space="preserve">Cash &amp; Equivalents</t>
  </si>
  <si>
    <t xml:space="preserve">Accounts Receivable</t>
  </si>
  <si>
    <t xml:space="preserve">Inventory</t>
  </si>
  <si>
    <t xml:space="preserve">Property, Plant &amp; Equipment</t>
  </si>
  <si>
    <t xml:space="preserve">Total Assets</t>
  </si>
  <si>
    <t xml:space="preserve">LIABILITIES &amp; EQUITY</t>
  </si>
  <si>
    <t xml:space="preserve">Accounts Payable</t>
  </si>
  <si>
    <t xml:space="preserve">Long-Term Debt</t>
  </si>
  <si>
    <t xml:space="preserve">Common Stock</t>
  </si>
  <si>
    <t xml:space="preserve">Retained Earnings</t>
  </si>
  <si>
    <t xml:space="preserve">Total Liabilities &amp; Equity</t>
  </si>
  <si>
    <t xml:space="preserve">Balance Check (A - L&amp;E)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</si>
</sst>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i val="true"/>
      <sz val="11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B2" s="2" t="s">
        <v>1</v>
      </c>
      <c r="C2" s="2" t="s">
        <v>2</v>
      </c>
    </row>
    <row r="3" customFormat="false" ht="15" hidden="false" customHeight="false" outlineLevel="0" collapsed="false">
      <c r="A3" s="3" t="s">
        <v>3</v>
      </c>
    </row>
    <row r="4" customFormat="false" ht="15" hidden="false" customHeight="false" outlineLevel="0" collapsed="false">
      <c r="A4" s="4" t="s">
        <v>4</v>
      </c>
      <c r="B4" s="5" t="n">
        <f aca="false">B15-(B5+B6+B7)</f>
        <v>5500</v>
      </c>
      <c r="C4" s="5" t="n">
        <f aca="false">C15-(C5+C6+C7)</f>
        <v>2600</v>
      </c>
    </row>
    <row r="5" customFormat="false" ht="15" hidden="false" customHeight="false" outlineLevel="0" collapsed="false">
      <c r="A5" s="4" t="s">
        <v>5</v>
      </c>
      <c r="B5" s="5" t="n">
        <v>8200</v>
      </c>
      <c r="C5" s="5" t="n">
        <v>9300</v>
      </c>
    </row>
    <row r="6" customFormat="false" ht="15" hidden="false" customHeight="false" outlineLevel="0" collapsed="false">
      <c r="A6" s="4" t="s">
        <v>6</v>
      </c>
      <c r="B6" s="5" t="n">
        <v>6400</v>
      </c>
      <c r="C6" s="5" t="n">
        <v>7100</v>
      </c>
    </row>
    <row r="7" customFormat="false" ht="15" hidden="false" customHeight="false" outlineLevel="0" collapsed="false">
      <c r="A7" s="4" t="s">
        <v>7</v>
      </c>
      <c r="B7" s="5" t="n">
        <v>21000</v>
      </c>
      <c r="C7" s="5" t="n">
        <v>23500</v>
      </c>
    </row>
    <row r="8" customFormat="false" ht="15" hidden="false" customHeight="false" outlineLevel="0" collapsed="false">
      <c r="A8" s="3" t="s">
        <v>8</v>
      </c>
      <c r="B8" s="6" t="n">
        <f aca="false">SUM(B4:B7)</f>
        <v>41100</v>
      </c>
      <c r="C8" s="6" t="n">
        <f aca="false">SUM(C4:C7)</f>
        <v>42500</v>
      </c>
    </row>
    <row r="10" customFormat="false" ht="15" hidden="false" customHeight="false" outlineLevel="0" collapsed="false">
      <c r="A10" s="3" t="s">
        <v>9</v>
      </c>
    </row>
    <row r="11" customFormat="false" ht="15" hidden="false" customHeight="false" outlineLevel="0" collapsed="false">
      <c r="A11" s="4" t="s">
        <v>10</v>
      </c>
      <c r="B11" s="5" t="n">
        <v>5100</v>
      </c>
      <c r="C11" s="5" t="n">
        <v>5600</v>
      </c>
    </row>
    <row r="12" customFormat="false" ht="15" hidden="false" customHeight="false" outlineLevel="0" collapsed="false">
      <c r="A12" s="4" t="s">
        <v>11</v>
      </c>
      <c r="B12" s="5" t="n">
        <v>14000</v>
      </c>
      <c r="C12" s="5" t="n">
        <v>11500</v>
      </c>
    </row>
    <row r="13" customFormat="false" ht="15" hidden="false" customHeight="false" outlineLevel="0" collapsed="false">
      <c r="A13" s="4" t="s">
        <v>12</v>
      </c>
      <c r="B13" s="5" t="n">
        <v>10000</v>
      </c>
      <c r="C13" s="5" t="n">
        <v>10000</v>
      </c>
    </row>
    <row r="14" customFormat="false" ht="15" hidden="false" customHeight="false" outlineLevel="0" collapsed="false">
      <c r="A14" s="4" t="s">
        <v>13</v>
      </c>
      <c r="B14" s="5" t="n">
        <v>12000</v>
      </c>
      <c r="C14" s="5" t="n">
        <v>15400</v>
      </c>
    </row>
    <row r="15" customFormat="false" ht="15" hidden="false" customHeight="false" outlineLevel="0" collapsed="false">
      <c r="A15" s="3" t="s">
        <v>14</v>
      </c>
      <c r="B15" s="6" t="n">
        <f aca="false">SUM(B11:B14)</f>
        <v>41100</v>
      </c>
      <c r="C15" s="6" t="n">
        <f aca="false">SUM(C11:C14)</f>
        <v>42500</v>
      </c>
    </row>
    <row r="17" customFormat="false" ht="15" hidden="false" customHeight="false" outlineLevel="0" collapsed="false">
      <c r="A17" s="0" t="s">
        <v>15</v>
      </c>
      <c r="B17" s="5" t="n">
        <f aca="false">B8-B15</f>
        <v>0</v>
      </c>
      <c r="C17" s="5" t="n">
        <f aca="false">C8-C15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2026-07-25T18:23:58Z</dcterms:created>
  <dc:creator>openpyxl</dc:creator>
  <dc:description/>
  <dc:language>en-US</dc:language>
  <cp:lastModifiedBy/>
  <dcterms:modified xsi:type="dcterms:W3CDTF">2026-07-25T18:23:58Z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